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erejo Lopes\OneDrive\Formação\IEFP\Alverca\2026\109\0778\"/>
    </mc:Choice>
  </mc:AlternateContent>
  <xr:revisionPtr revIDLastSave="0" documentId="13_ncr:1_{C6D32139-44C6-44D9-914C-0D7E432F0639}" xr6:coauthVersionLast="47" xr6:coauthVersionMax="47" xr10:uidLastSave="{00000000-0000-0000-0000-000000000000}"/>
  <bookViews>
    <workbookView xWindow="-28920" yWindow="465" windowWidth="29040" windowHeight="15720" tabRatio="500" xr2:uid="{00000000-000D-0000-FFFF-FFFF00000000}"/>
  </bookViews>
  <sheets>
    <sheet name="Indice" sheetId="1" r:id="rId1"/>
    <sheet name="O que é uma Referencia" sheetId="10" r:id="rId2"/>
    <sheet name="Referencias" sheetId="2" r:id="rId3"/>
    <sheet name="Intervalos" sheetId="3" r:id="rId4"/>
    <sheet name="Gestao de Nomes" sheetId="6" r:id="rId5"/>
    <sheet name="Argumentos" sheetId="8" r:id="rId6"/>
    <sheet name="Operadores" sheetId="5" r:id="rId7"/>
    <sheet name="Tabelas de Verdade" sheetId="9" r:id="rId8"/>
    <sheet name="Condicionais" sheetId="11" r:id="rId9"/>
  </sheets>
  <externalReferences>
    <externalReference r:id="rId10"/>
    <externalReference r:id="rId11"/>
    <externalReference r:id="rId12"/>
    <externalReference r:id="rId13"/>
  </externalReferences>
  <definedNames>
    <definedName name="Alunos">#REF!</definedName>
    <definedName name="Avalia">#REF!</definedName>
    <definedName name="Avaliacao">'[1]Nome de Blocos'!$B$4:$D$10</definedName>
    <definedName name="AvalQuali">#REF!</definedName>
    <definedName name="AvalQuant">#REF!</definedName>
    <definedName name="base_dados">#REF!</definedName>
    <definedName name="CONDIÇÕES">'[2]NOTAS ( BASE DE DADOS )'!$B$26:$J$27</definedName>
    <definedName name="CP">[3]BaseFact!$D$2:$D$65536</definedName>
    <definedName name="d">#REF!</definedName>
    <definedName name="dados_do_operário">#REF!</definedName>
    <definedName name="Divisao">#REF!</definedName>
    <definedName name="Envio">1.25</definedName>
    <definedName name="Exame">'[1]Nome de Blocos'!$D$4:$D$10</definedName>
    <definedName name="f">'[4]Exercício 14 - Ordenados'!$E$9:$F$13</definedName>
    <definedName name="g">#REF!</definedName>
    <definedName name="gp">#REF!</definedName>
    <definedName name="grp_ChavetaGuia">"shp_BraceBottom,txt_WalkMeBrace,shp_BraceLeft"</definedName>
    <definedName name="grp_SetasGuia">"shp_ArrowCurved,txt_WalkMeArrows,shp_ArrowStraight"</definedName>
    <definedName name="ImpostoSobreVendas">0.0825</definedName>
    <definedName name="iva">[2]MÉDIAS!$I$9</definedName>
    <definedName name="LISTAGEM">'[2]NOTAS ( BASE DE DADOS )'!$B$33:$J$43</definedName>
    <definedName name="Local">[3]BaseFact!$E$2:$E$65536</definedName>
    <definedName name="MARGEM">#REF!</definedName>
    <definedName name="media">#REF!</definedName>
    <definedName name="Morada">[3]BaseFact!$C$2:$C$65536</definedName>
    <definedName name="N__Avião">#REF!</definedName>
    <definedName name="Ncli">[3]BaseFact!$A$2:$A$65536</definedName>
    <definedName name="Nif">[3]BaseFact!$F$2:$F$65536</definedName>
    <definedName name="Número_do_Avião">#REF!</definedName>
    <definedName name="Pesos_Avalia">'[1]Nome de Blocos'!$B$2:$D$2</definedName>
    <definedName name="ponderar">#REF!</definedName>
    <definedName name="regiões">#REF!</definedName>
    <definedName name="sd" localSheetId="8" hidden="1">{#N/A,"a",TRUE,"Cenários";#N/A,"b",TRUE,"Cenários"}</definedName>
    <definedName name="sd" localSheetId="1" hidden="1">{#N/A,"a",TRUE,"Cenários";#N/A,"b",TRUE,"Cenários"}</definedName>
    <definedName name="sd" localSheetId="7" hidden="1">{#N/A,"a",TRUE,"Cenários";#N/A,"b",TRUE,"Cenários"}</definedName>
    <definedName name="sd" hidden="1">{#N/A,"a",TRUE,"Cenários";#N/A,"b",TRUE,"Cenários"}</definedName>
    <definedName name="sdfs" localSheetId="8" hidden="1">{"vista2",#N/A,FALSE,"Tabela Pivot";#N/A,#N/A,FALSE,"Classificação"}</definedName>
    <definedName name="sdfs" localSheetId="1" hidden="1">{"vista2",#N/A,FALSE,"Tabela Pivot";#N/A,#N/A,FALSE,"Classificação"}</definedName>
    <definedName name="sdfs" localSheetId="7" hidden="1">{"vista2",#N/A,FALSE,"Tabela Pivot";#N/A,#N/A,FALSE,"Classificação"}</definedName>
    <definedName name="sdfs" hidden="1">{"vista2",#N/A,FALSE,"Tabela Pivot";#N/A,#N/A,FALSE,"Classificação"}</definedName>
    <definedName name="semestre1">#REF!</definedName>
    <definedName name="Semestre2">#REF!</definedName>
    <definedName name="TABELA_DE_CODIGOS">#REF!</definedName>
    <definedName name="tabela_de_comissões">#REF!</definedName>
    <definedName name="TABELA_DE_PESQUISA">#REF!</definedName>
    <definedName name="TABELA_DE_PREÇOS">#REF!</definedName>
    <definedName name="Total_Pesos">'[1]Nome de Blocos'!$E$2</definedName>
    <definedName name="vu">#REF!</definedName>
    <definedName name="wrn.análise._.de._.empréstimo." localSheetId="8" hidden="1">{#N/A,"a",TRUE,"Cenários";#N/A,"b",TRUE,"Cenários"}</definedName>
    <definedName name="wrn.análise._.de._.empréstimo." localSheetId="1" hidden="1">{#N/A,"a",TRUE,"Cenários";#N/A,"b",TRUE,"Cenários"}</definedName>
    <definedName name="wrn.análise._.de._.empréstimo." localSheetId="7" hidden="1">{#N/A,"a",TRUE,"Cenários";#N/A,"b",TRUE,"Cenários"}</definedName>
    <definedName name="wrn.análise._.de._.empréstimo." hidden="1">{#N/A,"a",TRUE,"Cenários";#N/A,"b",TRUE,"Cenários"}</definedName>
    <definedName name="wrn.r2." localSheetId="8" hidden="1">{"vista2",#N/A,FALSE,"Tabela Pivot";#N/A,#N/A,FALSE,"Classificação"}</definedName>
    <definedName name="wrn.r2." localSheetId="1" hidden="1">{"vista2",#N/A,FALSE,"Tabela Pivot";#N/A,#N/A,FALSE,"Classificação"}</definedName>
    <definedName name="wrn.r2." localSheetId="7" hidden="1">{"vista2",#N/A,FALSE,"Tabela Pivot";#N/A,#N/A,FALSE,"Classificação"}</definedName>
    <definedName name="wrn.r2." hidden="1">{"vista2",#N/A,FALSE,"Tabela Pivot";#N/A,#N/A,FALSE,"Classificação"}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5" i="11" l="1"/>
  <c r="C46" i="11"/>
  <c r="C47" i="11"/>
  <c r="C48" i="11"/>
  <c r="C49" i="11"/>
  <c r="H5" i="10"/>
  <c r="M5" i="10"/>
  <c r="J28" i="10"/>
  <c r="J29" i="10"/>
  <c r="F31" i="9"/>
  <c r="F32" i="9"/>
  <c r="F33" i="9"/>
  <c r="F34" i="9"/>
  <c r="F35" i="9"/>
  <c r="F36" i="9"/>
  <c r="F37" i="9"/>
  <c r="I47" i="8"/>
  <c r="I48" i="8"/>
  <c r="I49" i="8"/>
  <c r="I50" i="8"/>
  <c r="I51" i="8"/>
  <c r="C54" i="8"/>
  <c r="F54" i="8"/>
  <c r="C55" i="8"/>
  <c r="F55" i="8"/>
  <c r="C56" i="8"/>
  <c r="F56" i="8"/>
  <c r="C57" i="8"/>
  <c r="F57" i="8"/>
  <c r="C58" i="8"/>
  <c r="F58" i="8"/>
  <c r="C59" i="8"/>
  <c r="F59" i="8"/>
  <c r="F37" i="6"/>
  <c r="F36" i="6"/>
  <c r="F35" i="6"/>
  <c r="F34" i="6"/>
  <c r="E38" i="5"/>
  <c r="F38" i="5" s="1"/>
  <c r="E37" i="5"/>
  <c r="F37" i="5" s="1"/>
  <c r="E36" i="5"/>
  <c r="F36" i="5" s="1"/>
  <c r="E35" i="5"/>
  <c r="F35" i="5" s="1"/>
  <c r="E34" i="5"/>
  <c r="F34" i="5" s="1"/>
  <c r="E33" i="5"/>
  <c r="F33" i="5" s="1"/>
  <c r="F42" i="3"/>
  <c r="F41" i="3"/>
  <c r="F40" i="3"/>
  <c r="E36" i="3"/>
  <c r="D36" i="3"/>
  <c r="C36" i="3"/>
  <c r="F35" i="3"/>
  <c r="F34" i="3"/>
  <c r="F33" i="3"/>
  <c r="F32" i="3"/>
  <c r="F36" i="3" l="1"/>
  <c r="F43" i="3"/>
</calcChain>
</file>

<file path=xl/sharedStrings.xml><?xml version="1.0" encoding="utf-8"?>
<sst xmlns="http://schemas.openxmlformats.org/spreadsheetml/2006/main" count="780" uniqueCount="628">
  <si>
    <t>UFCD 0778 — Folha de Cálculo</t>
  </si>
  <si>
    <t>Referências · Intervalos · Operadores · Gestão de Nomes</t>
  </si>
  <si>
    <t>Microsoft Excel 365 · Edição 2026</t>
  </si>
  <si>
    <t>Conteúdo deste livro de trabalho</t>
  </si>
  <si>
    <t>Folha</t>
  </si>
  <si>
    <t>Tema</t>
  </si>
  <si>
    <t>Referencias</t>
  </si>
  <si>
    <t>Tipos de referências: relativa, absoluta e mista</t>
  </si>
  <si>
    <t>Operadores</t>
  </si>
  <si>
    <t>Operadores matemáticos, lógicos e de texto</t>
  </si>
  <si>
    <t>Gestao de Nomes</t>
  </si>
  <si>
    <t>Dar nomes a células e intervalos para fórmulas mais legíveis</t>
  </si>
  <si>
    <t>Intervalos</t>
  </si>
  <si>
    <t>Tipos de intervalos e como os selecionar</t>
  </si>
  <si>
    <t>Como utilizar este livro</t>
  </si>
  <si>
    <t>1. Lê a explicação teórica no topo de cada folha.</t>
  </si>
  <si>
    <t>2. Observa os exemplos apresentados.</t>
  </si>
  <si>
    <t>3. Pratica na zona EXPERIMENTAR de cada folha.</t>
  </si>
  <si>
    <t>4. Completa o desafio final de cada folha.</t>
  </si>
  <si>
    <t>5. Usa Ctrl+F3 para gerir os nomes que criares.</t>
  </si>
  <si>
    <t>Objetivo</t>
  </si>
  <si>
    <t>Compreender e aplicar referências, intervalos, operadores e nomes em fórmulas do Microsoft Excel 365.</t>
  </si>
  <si>
    <t>REFERÊNCIAS DE CÉLULAS</t>
  </si>
  <si>
    <t>Uma referência indica ao Excel onde localizar os dados a utilizar numa fórmula. Quando o valor da célula referenciada muda, todas as fórmulas que dependem dela são automaticamente atualizadas.</t>
  </si>
  <si>
    <t>Distinção fundamental</t>
  </si>
  <si>
    <t>Notação</t>
  </si>
  <si>
    <t>Significado</t>
  </si>
  <si>
    <t>Exemplo</t>
  </si>
  <si>
    <t>A1</t>
  </si>
  <si>
    <t>Endereço da célula — apenas indica a posição</t>
  </si>
  <si>
    <t>A célula A1 está na coluna A, linha 1</t>
  </si>
  <si>
    <t>A1 usada em fórmula</t>
  </si>
  <si>
    <t>Referência usada numa fórmula — o Excel vai buscar o valor de A1</t>
  </si>
  <si>
    <t>Se A1 contiver 10, a célula com essa referência mostrará 10</t>
  </si>
  <si>
    <t>Tipos de Referências</t>
  </si>
  <si>
    <t>Tipo</t>
  </si>
  <si>
    <t>Coluna fixa?</t>
  </si>
  <si>
    <t>Linha fixa?</t>
  </si>
  <si>
    <t>Comportamento ao copiar a fórmula</t>
  </si>
  <si>
    <t>Relativa</t>
  </si>
  <si>
    <t>Não</t>
  </si>
  <si>
    <t>Linha e coluna ajustam-se automaticamente</t>
  </si>
  <si>
    <t>Absoluta</t>
  </si>
  <si>
    <t>$A$1</t>
  </si>
  <si>
    <t>Sim</t>
  </si>
  <si>
    <t>Linha e coluna mantêm-se sempre iguais</t>
  </si>
  <si>
    <t>Mista (coluna fixa)</t>
  </si>
  <si>
    <t>$A1</t>
  </si>
  <si>
    <t>A coluna mantém-se; a linha ajusta-se</t>
  </si>
  <si>
    <t>Mista (linha fixa)</t>
  </si>
  <si>
    <t>A$1</t>
  </si>
  <si>
    <t>A linha mantém-se; a coluna ajusta-se</t>
  </si>
  <si>
    <t>Como funciona a referência relativa — exemplo prático</t>
  </si>
  <si>
    <t>Célula</t>
  </si>
  <si>
    <t>Fórmula escrita</t>
  </si>
  <si>
    <t>Fórmula após copiar para baixo</t>
  </si>
  <si>
    <t>C2</t>
  </si>
  <si>
    <t>A2+B2 (original)</t>
  </si>
  <si>
    <t>Linha 2 — não muda</t>
  </si>
  <si>
    <t>C3</t>
  </si>
  <si>
    <t>(copiada de C2)</t>
  </si>
  <si>
    <t>A3+B3 — linha ajustou-se para 3</t>
  </si>
  <si>
    <t>C4</t>
  </si>
  <si>
    <t>A4+B4 — linha ajustou-se para 4</t>
  </si>
  <si>
    <t>Como funciona a referência absoluta — exemplo prático</t>
  </si>
  <si>
    <t>A2*$B$1 (original)</t>
  </si>
  <si>
    <t>$B$1 não muda</t>
  </si>
  <si>
    <t>A3*$B$1 — só a linha de A muda</t>
  </si>
  <si>
    <t>A4*$B$1 — só a linha de A muda</t>
  </si>
  <si>
    <t>Dica: usa a tecla F4 para alternar entre os tipos de referência ao escrever uma fórmula.</t>
  </si>
  <si>
    <t>EXPERIMENTAR</t>
  </si>
  <si>
    <t>Preenche a tabela abaixo. Escreve uma fórmula em D33 que some Valor A + Valor B, e copia-a para D34 e D35.</t>
  </si>
  <si>
    <t>Valor A</t>
  </si>
  <si>
    <t>Valor B</t>
  </si>
  <si>
    <t>Soma (escreve a fórmula aqui)</t>
  </si>
  <si>
    <t>Taxa fixa</t>
  </si>
  <si>
    <t>Resultado (B34 x taxa)</t>
  </si>
  <si>
    <t>Escreve aqui a fórmula</t>
  </si>
  <si>
    <t>Copia a fórmula</t>
  </si>
  <si>
    <t>DESAFIO</t>
  </si>
  <si>
    <t>Na célula H35, escreve uma fórmula que multiplique o Valor A (coluna B) por uma taxa fixa em H33.</t>
  </si>
  <si>
    <t>Copia a fórmula para H36 e H37. Usa referência absoluta para a taxa e relativa para o Valor A.</t>
  </si>
  <si>
    <t>INTERVALOS</t>
  </si>
  <si>
    <t>Um intervalo é um conjunto de células identificado pela primeira e pela última célula, separadas por dois pontos (:). O símbolo : significa desde... até...</t>
  </si>
  <si>
    <t>Tipos de intervalos</t>
  </si>
  <si>
    <t>O que representa</t>
  </si>
  <si>
    <t>Exemplo de utilização</t>
  </si>
  <si>
    <t>Vertical</t>
  </si>
  <si>
    <t>A2:A6</t>
  </si>
  <si>
    <t>Células da coluna A, da linha 2 à 6</t>
  </si>
  <si>
    <t>SOMA(A2:A6)</t>
  </si>
  <si>
    <t>Horizontal</t>
  </si>
  <si>
    <t>B2:F2</t>
  </si>
  <si>
    <t>Células da linha 2, da coluna B à F</t>
  </si>
  <si>
    <t>SOMA(B2:F2)</t>
  </si>
  <si>
    <t>Retangular</t>
  </si>
  <si>
    <t>B2:D5</t>
  </si>
  <si>
    <t>Todas as células entre B2 e D5</t>
  </si>
  <si>
    <t>SOMA(B2:D5)</t>
  </si>
  <si>
    <t>Coluna inteira</t>
  </si>
  <si>
    <t>A:A</t>
  </si>
  <si>
    <t>Todas as células da coluna A</t>
  </si>
  <si>
    <t>SOMA(A:A)</t>
  </si>
  <si>
    <t>Linha inteira</t>
  </si>
  <si>
    <t>2:2</t>
  </si>
  <si>
    <t>Todas as células da linha 2</t>
  </si>
  <si>
    <t>SOMA(2:2)</t>
  </si>
  <si>
    <t>Uma célula</t>
  </si>
  <si>
    <t>Apenas a célula C4</t>
  </si>
  <si>
    <t>referencia direta: C4</t>
  </si>
  <si>
    <t>Intervalos não contíguos (múltiplos intervalos separados)</t>
  </si>
  <si>
    <t>Podes selecionar vários intervalos separados usando ponto e vírgula (;) entre eles.</t>
  </si>
  <si>
    <t>A1:A5;C1:C5</t>
  </si>
  <si>
    <t>Coluna A e coluna C (sem a B) — usa SOMA(A1:A5;C1:C5)</t>
  </si>
  <si>
    <t>B2:B10;D2:D10</t>
  </si>
  <si>
    <t>Duas colunas separadas — usa MEDIA(B2:B10;D2:D10)</t>
  </si>
  <si>
    <t>Como selecionar intervalos</t>
  </si>
  <si>
    <t>Método</t>
  </si>
  <si>
    <t>Como fazer</t>
  </si>
  <si>
    <t>Intervalo contíguo</t>
  </si>
  <si>
    <t>Clica na 1.ª célula e arrasta até à última</t>
  </si>
  <si>
    <t>Com teclado</t>
  </si>
  <si>
    <t>Clica na 1.ª célula, mantém Shift e clica na última</t>
  </si>
  <si>
    <t>Não contíguo</t>
  </si>
  <si>
    <t>Seleciona o 1.º intervalo, mantém Ctrl e seleciona os restantes</t>
  </si>
  <si>
    <t>Clica na letra da coluna (ex: clica em A para selecionar A:A)</t>
  </si>
  <si>
    <t>Clica no número da linha (ex: clica em 2 para selecionar 2:2)</t>
  </si>
  <si>
    <t>EXPERIMENTAR — Tabela de vendas por produto e mês</t>
  </si>
  <si>
    <t>As fórmulas da coluna F e da linha 35 já estão preenchidas. Observa os intervalos utilizados.</t>
  </si>
  <si>
    <t>Produto</t>
  </si>
  <si>
    <t>Janeiro</t>
  </si>
  <si>
    <t>Fevereiro</t>
  </si>
  <si>
    <t>Março</t>
  </si>
  <si>
    <t>Total</t>
  </si>
  <si>
    <t>Produto A</t>
  </si>
  <si>
    <t>Produto B</t>
  </si>
  <si>
    <t>Produto C</t>
  </si>
  <si>
    <t>Produto D</t>
  </si>
  <si>
    <t>Total mês</t>
  </si>
  <si>
    <t>Análise dos intervalos utilizados</t>
  </si>
  <si>
    <t>Intervalo</t>
  </si>
  <si>
    <t>O que seleciona</t>
  </si>
  <si>
    <t>Resultado</t>
  </si>
  <si>
    <t>C31:E31</t>
  </si>
  <si>
    <t>Os 3 meses do Produto A</t>
  </si>
  <si>
    <t>C31:C34</t>
  </si>
  <si>
    <t>Todos os valores de Janeiro</t>
  </si>
  <si>
    <t>C31:E34</t>
  </si>
  <si>
    <t>Todos os valores dos 3 meses</t>
  </si>
  <si>
    <t>F31:F34</t>
  </si>
  <si>
    <t>Os totais dos 4 produtos</t>
  </si>
  <si>
    <t>Pergunta</t>
  </si>
  <si>
    <t>Resposta</t>
  </si>
  <si>
    <t>1. Qual é o intervalo que representa apenas os valores de Fevereiro? Escreve a resposta em H45.</t>
  </si>
  <si>
    <t>Intervalo de Fevereiro:</t>
  </si>
  <si>
    <t>2. Escreve em H46 uma fórmula que some apenas Janeiro e Março (sem Fevereiro), usando intervalos não contíguos.</t>
  </si>
  <si>
    <t>Soma Jan + Mar (sem Fev):</t>
  </si>
  <si>
    <t>3. Em H47, calcula a média de todos os valores da tabela (C31:E34).</t>
  </si>
  <si>
    <t>Média geral:</t>
  </si>
  <si>
    <t>ARGUMENTOS DE FUNÇÕES</t>
  </si>
  <si>
    <t>Um argumento é a informação que forneces a uma função para que ela possa calcular o resultado.</t>
  </si>
  <si>
    <t>As funções podem ter um ou mais argumentos, separados por ponto e vírgula (;). Alguns são obrigatórios, outros opcionais.</t>
  </si>
  <si>
    <t>PARTE 1 — Estrutura de uma função</t>
  </si>
  <si>
    <t>Todas as funções seguem a mesma estrutura:</t>
  </si>
  <si>
    <t>=</t>
  </si>
  <si>
    <t>NOME_DA_FUNÇÃO</t>
  </si>
  <si>
    <t>(</t>
  </si>
  <si>
    <t>argumento1 ; argumento2 ; ...</t>
  </si>
  <si>
    <t>)</t>
  </si>
  <si>
    <t>Exemplo concreto:</t>
  </si>
  <si>
    <t>SOMA(A1:A5)</t>
  </si>
  <si>
    <t>SOMA é o nome da função</t>
  </si>
  <si>
    <t>A1:A5</t>
  </si>
  <si>
    <t>A1:A5 é o argumento — o intervalo de células a somar</t>
  </si>
  <si>
    <t>PARTE 2 — Tipos de argumentos</t>
  </si>
  <si>
    <t>Tipo de argumento</t>
  </si>
  <si>
    <t>Explicação</t>
  </si>
  <si>
    <t>Obrigatório?</t>
  </si>
  <si>
    <t>Intervalo de células</t>
  </si>
  <si>
    <t>A1:A10</t>
  </si>
  <si>
    <t>Um conjunto de células a processar</t>
  </si>
  <si>
    <t>Valor numérico</t>
  </si>
  <si>
    <t>Um número fixo diretamente na fórmula</t>
  </si>
  <si>
    <t>Depende</t>
  </si>
  <si>
    <t>Texto</t>
  </si>
  <si>
    <t>"Aprovado"</t>
  </si>
  <si>
    <t>Texto entre aspas duplas</t>
  </si>
  <si>
    <t>Referência de célula</t>
  </si>
  <si>
    <t>B2</t>
  </si>
  <si>
    <t>O valor que está numa célula específica</t>
  </si>
  <si>
    <t>Outra função</t>
  </si>
  <si>
    <t>Uma função dentro de outra (aninhamento)</t>
  </si>
  <si>
    <t>Condição lógica</t>
  </si>
  <si>
    <t>A1&gt;10</t>
  </si>
  <si>
    <t>Uma comparação que devolve VERDADEIRO/FALSO</t>
  </si>
  <si>
    <t>PARTE 3 — Funções específicas e os seus argumentos</t>
  </si>
  <si>
    <t>Cada função tem os seus próprios argumentos. Alguns são obrigatórios (tens de preencher), outros são opcionais (podes omitir).</t>
  </si>
  <si>
    <t>Função</t>
  </si>
  <si>
    <t>Sintaxe completa</t>
  </si>
  <si>
    <t>Argumentos</t>
  </si>
  <si>
    <t>SOMA</t>
  </si>
  <si>
    <t>SOMA(núm1; [núm2]; ...)</t>
  </si>
  <si>
    <t>núm1: obrigatório — intervalo ou valor a somar
[núm2]: opcional — mais valores</t>
  </si>
  <si>
    <t>Soma todos os valores de A1 a A5</t>
  </si>
  <si>
    <t>MÉDIA</t>
  </si>
  <si>
    <t>MÉDIA(núm1; [núm2]; ...)</t>
  </si>
  <si>
    <t>núm1: obrigatório — intervalo ou valor
[núm2]: opcional — mais valores</t>
  </si>
  <si>
    <t>MÉDIA(B1:B10)</t>
  </si>
  <si>
    <t>Calcula a média dos valores de B1 a B10</t>
  </si>
  <si>
    <t>MÍNIMO</t>
  </si>
  <si>
    <t>MÍNIMO(núm1; [núm2]; ...)</t>
  </si>
  <si>
    <t>núm1: obrigatório — intervalo a analisar</t>
  </si>
  <si>
    <t>MÍNIMO(C1:C8)</t>
  </si>
  <si>
    <t>Devolve o menor valor do intervalo</t>
  </si>
  <si>
    <t>MÁXIMO</t>
  </si>
  <si>
    <t>MÁXIMO(núm1; [núm2]; ...)</t>
  </si>
  <si>
    <t>MÁXIMO(C1:C8)</t>
  </si>
  <si>
    <t>Devolve o maior valor do intervalo</t>
  </si>
  <si>
    <t>CONTAR</t>
  </si>
  <si>
    <t>CONTAR(valor1; [valor2]; ...)</t>
  </si>
  <si>
    <t>valor1: obrigatório — intervalo a contar (só conta números)</t>
  </si>
  <si>
    <t>CONTAR(D1:D20)</t>
  </si>
  <si>
    <t>Conta quantas células têm números</t>
  </si>
  <si>
    <t>CONTARA</t>
  </si>
  <si>
    <t>CONTARA(valor1; [valor2]; ...)</t>
  </si>
  <si>
    <t>valor1: obrigatório — intervalo a contar (conta tudo exceto vazias)</t>
  </si>
  <si>
    <t>CONTARA(A1:A20)</t>
  </si>
  <si>
    <t>Conta todas as células não vazias</t>
  </si>
  <si>
    <t>SE</t>
  </si>
  <si>
    <t>SE(A1&gt;10;"Aprovado";"Reprovado")</t>
  </si>
  <si>
    <t>Devolve Aprovado se A1&gt;10, senão Reprovado</t>
  </si>
  <si>
    <t>CONTAR.SE</t>
  </si>
  <si>
    <t>CONTAR.SE(intervalo; critério)</t>
  </si>
  <si>
    <t>intervalo: obrigatório — células a verificar
critério: obrigatório — condição (ex: "&gt;10")</t>
  </si>
  <si>
    <t>CONTAR.SE(A1:A20;"&gt;10")</t>
  </si>
  <si>
    <t>Conta células com valor maior que 10</t>
  </si>
  <si>
    <t>SOMA.SE</t>
  </si>
  <si>
    <t>SOMA.SE(intervalo; critério; [intervalo_soma])</t>
  </si>
  <si>
    <t>SOMA.SE(B1:B20;"Norte";C1:C20)</t>
  </si>
  <si>
    <t>Soma C se B for Norte</t>
  </si>
  <si>
    <t>PARTE 4 — O separador de argumentos</t>
  </si>
  <si>
    <t>Em Portugal, o separador de argumentos é o ponto e vírgula (;). Noutros países usa-se a vírgula (,).</t>
  </si>
  <si>
    <t>Correto (Portugal)</t>
  </si>
  <si>
    <t>Incorreto</t>
  </si>
  <si>
    <t>Porquê</t>
  </si>
  <si>
    <t>SOMA(A1:A5;B1:B5)</t>
  </si>
  <si>
    <t>SOMA(A1:A5,B1:B5)</t>
  </si>
  <si>
    <t>Em Portugal usa-se ; entre argumentos</t>
  </si>
  <si>
    <t>SE(A1&gt;10;"Sim";"Não")</t>
  </si>
  <si>
    <t>SE(A1&gt;10,"Sim","Não")</t>
  </si>
  <si>
    <t>A vírgula pode causar erro dependendo das definições regionais</t>
  </si>
  <si>
    <t>MÉDIA(A1:A5;C1:C5)</t>
  </si>
  <si>
    <t>MÉDIA(A1:A5 C1:C5)</t>
  </si>
  <si>
    <t>Sem separador, o Excel não reconhece os dois intervalos</t>
  </si>
  <si>
    <t>Usa a tabela de dados abaixo para praticar as funções. Os resultados são calculados automaticamente.</t>
  </si>
  <si>
    <t>Aluno</t>
  </si>
  <si>
    <t>Nota 1</t>
  </si>
  <si>
    <t>Nota 2</t>
  </si>
  <si>
    <t>Nota 3</t>
  </si>
  <si>
    <t>Média do aluno</t>
  </si>
  <si>
    <t>Verificação</t>
  </si>
  <si>
    <t>Ana</t>
  </si>
  <si>
    <t>Bruno</t>
  </si>
  <si>
    <t>Carla</t>
  </si>
  <si>
    <t>David</t>
  </si>
  <si>
    <t>Eva</t>
  </si>
  <si>
    <t>Fórmula usada</t>
  </si>
  <si>
    <t>Argumento(s)</t>
  </si>
  <si>
    <t>Soma de todas as notas</t>
  </si>
  <si>
    <t>C47:E51 — todas as notas</t>
  </si>
  <si>
    <t>Média geral</t>
  </si>
  <si>
    <t>Nota mínima</t>
  </si>
  <si>
    <t>Nota máxima</t>
  </si>
  <si>
    <t>Nº de notas &gt;= 10</t>
  </si>
  <si>
    <t>C47:E51 e critério &gt;=10</t>
  </si>
  <si>
    <t>Nº de alunos</t>
  </si>
  <si>
    <t>B47:B51 — coluna de nomes</t>
  </si>
  <si>
    <t>1. Escreve em H47 uma fórmula que calcule a média das 3 notas do primeiro aluno (Ana).</t>
  </si>
  <si>
    <t>2. Copia a fórmula para H48:H51 para calcular a média de todos os alunos.</t>
  </si>
  <si>
    <t>3. Em H53, usa a função SE para mostrar 'Aprovado' se a média (H47) for &gt;= 10, ou 'Reprovado' caso contrário.</t>
  </si>
  <si>
    <t>4. Em H54, conta quantos alunos têm média &gt;= 10 (usa CONTAR.SE com o intervalo H47:H51).</t>
  </si>
  <si>
    <t>OPERADORES</t>
  </si>
  <si>
    <t>Os operadores indicam ao Excel que operação deve realizar numa fórmula. Existem três grupos principais: matemáticos, lógicos/de comparação e de texto.</t>
  </si>
  <si>
    <t>Operadores Matemáticos</t>
  </si>
  <si>
    <t>Operador</t>
  </si>
  <si>
    <t>Operação</t>
  </si>
  <si>
    <t>+</t>
  </si>
  <si>
    <t>Adição</t>
  </si>
  <si>
    <t>10+5</t>
  </si>
  <si>
    <t>-</t>
  </si>
  <si>
    <t>Subtração</t>
  </si>
  <si>
    <t>10-5</t>
  </si>
  <si>
    <t>*</t>
  </si>
  <si>
    <t>Multiplicação</t>
  </si>
  <si>
    <t>10*5</t>
  </si>
  <si>
    <t>/</t>
  </si>
  <si>
    <t>Divisão</t>
  </si>
  <si>
    <t>10/5</t>
  </si>
  <si>
    <t>^</t>
  </si>
  <si>
    <t>Potenciação</t>
  </si>
  <si>
    <t>2^8</t>
  </si>
  <si>
    <t>%</t>
  </si>
  <si>
    <t>Percentagem</t>
  </si>
  <si>
    <t>200*10%</t>
  </si>
  <si>
    <t>Operadores Lógicos / de Comparação</t>
  </si>
  <si>
    <t>Devolvem sempre VERDADEIRO ou FALSO. São muito usados em funções como SE(), CONTAR.SE() e SOMASE().</t>
  </si>
  <si>
    <t>Igual a</t>
  </si>
  <si>
    <t>10=5</t>
  </si>
  <si>
    <t>FALSO</t>
  </si>
  <si>
    <t>&gt;</t>
  </si>
  <si>
    <t>Maior que</t>
  </si>
  <si>
    <t>10&gt;5</t>
  </si>
  <si>
    <t>VERDADEIRO</t>
  </si>
  <si>
    <t>&lt;</t>
  </si>
  <si>
    <t>Menor que</t>
  </si>
  <si>
    <t>10&lt;5</t>
  </si>
  <si>
    <t>&gt;=</t>
  </si>
  <si>
    <t>Maior ou igual a</t>
  </si>
  <si>
    <t>10&gt;=10</t>
  </si>
  <si>
    <t>&lt;=</t>
  </si>
  <si>
    <t>Menor ou igual a</t>
  </si>
  <si>
    <t>5&lt;=10</t>
  </si>
  <si>
    <t>&lt;&gt;</t>
  </si>
  <si>
    <t>Diferente de</t>
  </si>
  <si>
    <t>10&lt;&gt;5</t>
  </si>
  <si>
    <t>Operador de Texto</t>
  </si>
  <si>
    <t>&amp;</t>
  </si>
  <si>
    <t>Concatenar (juntar texto)</t>
  </si>
  <si>
    <t>"Olá"&amp;" "&amp;"Mundo" devolve: Olá Mundo</t>
  </si>
  <si>
    <t>Ordem das operações (prioridade)</t>
  </si>
  <si>
    <t>Prioridade</t>
  </si>
  <si>
    <t>1.ª (mais alta)</t>
  </si>
  <si>
    <t>Parênteses ( )</t>
  </si>
  <si>
    <t>2.ª</t>
  </si>
  <si>
    <t>Potenciação ^</t>
  </si>
  <si>
    <t>3.ª</t>
  </si>
  <si>
    <t>Multiplicação * e Divisão /</t>
  </si>
  <si>
    <t>4.ª (mais baixa)</t>
  </si>
  <si>
    <t>Adição + e Subtração -</t>
  </si>
  <si>
    <t>Exemplo de ordem de operações</t>
  </si>
  <si>
    <t>Fórmula</t>
  </si>
  <si>
    <t>2+3*4</t>
  </si>
  <si>
    <t>Multiplica primeiro: 3x4=12, depois soma 2</t>
  </si>
  <si>
    <t>(2+3)*4</t>
  </si>
  <si>
    <t>Parênteses primeiro: 2+3=5, depois multiplica por 4</t>
  </si>
  <si>
    <t>10/2+3</t>
  </si>
  <si>
    <t>Divide primeiro: 10/2=5, depois soma 3</t>
  </si>
  <si>
    <t>10/(2+3)</t>
  </si>
  <si>
    <t>Parênteses primeiro: 2+3=5, depois divide 10</t>
  </si>
  <si>
    <t>Altera os valores de Valor 1 e Valor 2 e observa como os resultados mudam automaticamente.</t>
  </si>
  <si>
    <t>Valor 1</t>
  </si>
  <si>
    <t>Valor 2</t>
  </si>
  <si>
    <t>Cálculo</t>
  </si>
  <si>
    <t>Desafio</t>
  </si>
  <si>
    <t>(V1 + V2) x 2 - 1</t>
  </si>
  <si>
    <t>V1 + V2 x 2 - 1</t>
  </si>
  <si>
    <t>Diferença:</t>
  </si>
  <si>
    <t>Escreve em H45 a fórmula: (Valor1 + Valor2) x 2 - 1</t>
  </si>
  <si>
    <t>Escreve em H46 sem parênteses: Valor1 + Valor2 x 2 - 1</t>
  </si>
  <si>
    <t>Compara os dois resultados e explica a diferença na célula H47.</t>
  </si>
  <si>
    <t>GESTÃO DE NOMES</t>
  </si>
  <si>
    <t>Dar um nome a uma célula ou intervalo permite usar esse nome nas fórmulas, tornando-as mais fáceis de ler, compreender e manter.</t>
  </si>
  <si>
    <t>Como criar um nome</t>
  </si>
  <si>
    <t>Passo</t>
  </si>
  <si>
    <t>Ação</t>
  </si>
  <si>
    <t>1.</t>
  </si>
  <si>
    <t>Seleciona a célula ou intervalo que queres nomear</t>
  </si>
  <si>
    <t>2.</t>
  </si>
  <si>
    <t>Clica na Caixa de Nome (canto superior esquerdo, onde aparece a referência da célula)</t>
  </si>
  <si>
    <t>3.</t>
  </si>
  <si>
    <t>Escreve o nome pretendido (ex: Valores)</t>
  </si>
  <si>
    <t>4.</t>
  </si>
  <si>
    <t>Prime Enter para confirmar</t>
  </si>
  <si>
    <t>5.</t>
  </si>
  <si>
    <t>Agora podes usar SOMA(Valores) em vez de SOMA(C16:C20)</t>
  </si>
  <si>
    <t>Regras para os nomes</t>
  </si>
  <si>
    <t>Regra</t>
  </si>
  <si>
    <t>Detalhe</t>
  </si>
  <si>
    <t>OK — Começar por letra, _ ou \</t>
  </si>
  <si>
    <t>Exemplos válidos: Vendas, _Total</t>
  </si>
  <si>
    <t>OK — Sem espaços</t>
  </si>
  <si>
    <t>Usa underscore: Total_Vendas, Preco_Unitario</t>
  </si>
  <si>
    <t>OK — Claro e descritivo</t>
  </si>
  <si>
    <t>Prefere Receita_2026 a R26 ou Dados1</t>
  </si>
  <si>
    <t>NAO — Não pode ser igual a uma referência</t>
  </si>
  <si>
    <t>Nomes como A1, B2, C10 são inválidos</t>
  </si>
  <si>
    <t>NAO — Não pode conter operadores</t>
  </si>
  <si>
    <t>Nomes como Total+IVA ou Valor*2 são inválidos</t>
  </si>
  <si>
    <t>Exemplo prático — Produtos</t>
  </si>
  <si>
    <t>Seleciona o intervalo C23:C27 e dá-lhe o nome: Valores (usa a Caixa de Nome)</t>
  </si>
  <si>
    <t>Valor (EUR)</t>
  </si>
  <si>
    <t>Caderno</t>
  </si>
  <si>
    <t>Caneta</t>
  </si>
  <si>
    <t>Pasta</t>
  </si>
  <si>
    <t>Calculadora</t>
  </si>
  <si>
    <t>Mochila</t>
  </si>
  <si>
    <t>Comparação: fórmulas sem nome vs. com nome</t>
  </si>
  <si>
    <t>Sem nome (intervalo)</t>
  </si>
  <si>
    <t>Com nome (apos criar Valores)</t>
  </si>
  <si>
    <t>Resultado real</t>
  </si>
  <si>
    <t>Somar os valores</t>
  </si>
  <si>
    <t>SOMA(C24:C28)</t>
  </si>
  <si>
    <t>SOMA(Valores)</t>
  </si>
  <si>
    <t>Calcular a média</t>
  </si>
  <si>
    <t>MEDIA(C24:C28)</t>
  </si>
  <si>
    <t>MEDIA(Valores)</t>
  </si>
  <si>
    <t>Valor mínimo</t>
  </si>
  <si>
    <t>MINIMO(C24:C28)</t>
  </si>
  <si>
    <t>MINIMO(Valores)</t>
  </si>
  <si>
    <t>Valor máximo</t>
  </si>
  <si>
    <t>MAXIMO(C24:C28)</t>
  </si>
  <si>
    <t>MAXIMO(Valores)</t>
  </si>
  <si>
    <t>Outros métodos para criar nomes</t>
  </si>
  <si>
    <t>Como usar</t>
  </si>
  <si>
    <t>Separador Formulas &gt; Definir Nome</t>
  </si>
  <si>
    <t>Permite adicionar um comentário e definir o âmbito do nome</t>
  </si>
  <si>
    <t>Criar a partir da seleção</t>
  </si>
  <si>
    <t>Usa os cabeçalhos da tabela como nomes automaticamente</t>
  </si>
  <si>
    <t>Gestor de Nomes (Ctrl+F3)</t>
  </si>
  <si>
    <t>Ver, editar e eliminar todos os nomes do livro</t>
  </si>
  <si>
    <t>1. Seleciona C24:C28 e cria o nome Valores pela Caixa de Nome.</t>
  </si>
  <si>
    <t>2. Numa célula vazia, escreve =SOMA(Valores) e confirma que o resultado é 46.</t>
  </si>
  <si>
    <t>3. Escreve =MEDIA(Valores) e confirma que o resultado é 9,2.</t>
  </si>
  <si>
    <t>4. Abre o Gestor de Nomes (Ctrl+F3) e verifica o nome criado.</t>
  </si>
  <si>
    <t>5. Experimenta editar o nome e observa como as fórmulas se atualizam.</t>
  </si>
  <si>
    <t>Cria um segundo nome Produtos para o intervalo B24:B28.</t>
  </si>
  <si>
    <t>Usa o Gestor de Nomes para verificar os dois nomes criados.</t>
  </si>
  <si>
    <t>Experimenta usar CONTAR(Valores) e CONTAR(Produtos) — os resultados são iguais? Porquê?</t>
  </si>
  <si>
    <t>SE(teste_lógico; 
valor_se_verdadeiro; 
[valor_se_falso])</t>
  </si>
  <si>
    <t>4. Escreve uma fórmula que devolva VERDADEIRO apenas se A estiver entre 1 e 100 (inclusive).</t>
  </si>
  <si>
    <t>3. Se A=5 e B=10, qual é o resultado de E(A&gt;0; B&gt;A)? E de OU(A&gt;B; B&gt;0)?</t>
  </si>
  <si>
    <t>2. Que resultado dá OU(FALSO; FALSO; VERDADEIRO)? Porquê?</t>
  </si>
  <si>
    <t>1. Que resultado dá E(VERDADEIRO; VERDADEIRO; FALSO)? Porquê?</t>
  </si>
  <si>
    <t>💡 Desafio</t>
  </si>
  <si>
    <t>C41=C42</t>
  </si>
  <si>
    <t>A = B</t>
  </si>
  <si>
    <t>C41&gt;C42</t>
  </si>
  <si>
    <t>A &gt; B</t>
  </si>
  <si>
    <t>NOT(C41&gt;0)</t>
  </si>
  <si>
    <t>NÃO(A &gt; 0)</t>
  </si>
  <si>
    <t>OR(C41&gt;0,C42&gt;0)</t>
  </si>
  <si>
    <t>A &gt; 0 OU B &gt; 0</t>
  </si>
  <si>
    <t>AND(C41&gt;0,C42&gt;0)</t>
  </si>
  <si>
    <t>A &gt; 0 E B &gt; 0</t>
  </si>
  <si>
    <t>C42&gt;0</t>
  </si>
  <si>
    <t>B &gt; 0</t>
  </si>
  <si>
    <t>C41&gt;0</t>
  </si>
  <si>
    <t>A &gt; 0</t>
  </si>
  <si>
    <t>Condição</t>
  </si>
  <si>
    <t>← altera este valor</t>
  </si>
  <si>
    <t>Valor B:</t>
  </si>
  <si>
    <t>Valor A:</t>
  </si>
  <si>
    <t>Altera os valores de A e B e observa como os resultados de E(), OU() e NÃO() mudam automaticamente.</t>
  </si>
  <si>
    <t>Experimentar</t>
  </si>
  <si>
    <t>Aprovado se ambas as notas &gt; 5, ou se a nota final &gt; 8</t>
  </si>
  <si>
    <t>Quando (A1 E B1 &gt; 5) OU C1 &gt; 8</t>
  </si>
  <si>
    <t>OU(E(A1&gt;5;B1&gt;5);C1&gt;8)</t>
  </si>
  <si>
    <t>Aprovado se A1 positivo e B1 não for zero</t>
  </si>
  <si>
    <t>Quando A1&gt;0 E B1 não é zero</t>
  </si>
  <si>
    <t>E(A1&gt;0;NÃO(B1=0))</t>
  </si>
  <si>
    <t>Aprovado se tiver nota positiva em pelo menos uma disciplina</t>
  </si>
  <si>
    <t>Quando A1 OU B1 (ou ambos) são maiores que 0</t>
  </si>
  <si>
    <t>OU(A1&gt;0;B1&gt;0)</t>
  </si>
  <si>
    <t>Aprovado só se tiver nota positiva em ambas as disciplinas</t>
  </si>
  <si>
    <t>Quando A1 E B1 são ambos maiores que 0</t>
  </si>
  <si>
    <t>E(A1&gt;0;B1&gt;0)</t>
  </si>
  <si>
    <t>Exemplo prático</t>
  </si>
  <si>
    <t>Quando é VERDADEIRO</t>
  </si>
  <si>
    <t>Podes combinar E() e OU() dentro de um SE() para criar condições mais complexas.</t>
  </si>
  <si>
    <t>Combinações de E e OU</t>
  </si>
  <si>
    <t>Nenhuma é verdadeira → resultado falso</t>
  </si>
  <si>
    <t>Ambas falsas → resultado falso</t>
  </si>
  <si>
    <t>Pelo menos uma é verdadeira → resultado verdadeiro</t>
  </si>
  <si>
    <t>Uma é falsa → resultado falso</t>
  </si>
  <si>
    <t>Inverte: FALSO torna-se VERDADEIRO</t>
  </si>
  <si>
    <t>Inverte: VERDADEIRO torna-se FALSO</t>
  </si>
  <si>
    <t>Ambas verdadeiras → resultado verdadeiro</t>
  </si>
  <si>
    <t>NÃO( )</t>
  </si>
  <si>
    <t>OU( ; )</t>
  </si>
  <si>
    <t>Condição 2</t>
  </si>
  <si>
    <t>Condição 1</t>
  </si>
  <si>
    <t>E( ; )</t>
  </si>
  <si>
    <t>Exemplo: =NÃO(A1&gt;0) → é VERDADEIRO se A1 NÃO for maior que 0 (ou seja, se for &lt;= 0).</t>
  </si>
  <si>
    <t>Exemplo: =OU(A1&gt;0;B1&gt;0) → é VERDADEIRO se A1 OU B1 (ou ambos) forem maiores que 0.</t>
  </si>
  <si>
    <t>Exemplo: =E(A1&gt;0;B1&gt;0) → só é VERDADEIRO se A1 E B1 forem maiores que 0.</t>
  </si>
  <si>
    <t>Inverte o resultado: transforma VERDADEIRO em FALSO e vice-versa. Tem apenas um argumento.</t>
  </si>
  <si>
    <t>Devolve VERDADEIRO quando PELO MENOS UMA das condições é verdadeira.</t>
  </si>
  <si>
    <t>Devolve VERDADEIRO apenas quando TODAS as condições são verdadeiras.</t>
  </si>
  <si>
    <t>Operador NÃO (NOT)</t>
  </si>
  <si>
    <t>Operador OU (OR)</t>
  </si>
  <si>
    <t>Operador E (AND)</t>
  </si>
  <si>
    <t>Estes operadores são usados em funções como SE(), E(), OU() e NÃO() para combinar condições.</t>
  </si>
  <si>
    <t>As tabelas de verdade mostram todos os resultados possíveis dos operadores lógicos E, OU e NÃO.</t>
  </si>
  <si>
    <t>Tabelas de Verdade</t>
  </si>
  <si>
    <t>teste_lógico: obrigatório — condição (ex: A1&gt;10)
valor_se_verdadeiro: obrigatório [valor_se_falso]: opcional</t>
  </si>
  <si>
    <t>intervalo: obrigatório — células a verificar
critério: obrigatório [intervalo_soma]: opcional</t>
  </si>
  <si>
    <t>A$1 → Fixa a linha, mas permite que a coluna mude ao copiar.</t>
  </si>
  <si>
    <t>$A1 → Fixa a coluna, mas permite que a linha mude ao copiar.</t>
  </si>
  <si>
    <t>📌 Mista ($A1 ou A$1)</t>
  </si>
  <si>
    <t>Exemplo: Se escrever =$A$1 e copiar para outras células, todas continuarão a referenciar A1.</t>
  </si>
  <si>
    <t>A referência não muda ao copiar a fórmula.</t>
  </si>
  <si>
    <t>📌 Absoluta ($A$1)</t>
  </si>
  <si>
    <t>Exemplo: Se escrever =A1 em B1 e copiar para B2, a fórmula mudará para =A2.</t>
  </si>
  <si>
    <t>A referência muda ao copiar a fórmula.</t>
  </si>
  <si>
    <t>📌 Relativa (A1)</t>
  </si>
  <si>
    <t>A</t>
  </si>
  <si>
    <t>Tipos de Referências com $</t>
  </si>
  <si>
    <t>Se A1 for alterado, a célula que contém =A1 será automaticamente atualizada.</t>
  </si>
  <si>
    <t>Informa o Excel que a célula contém uma fórmula e que deve obter o valor da célula A1.</t>
  </si>
  <si>
    <t>=A1 → Referência Usada numa Fórmula</t>
  </si>
  <si>
    <t xml:space="preserve">📌 </t>
  </si>
  <si>
    <t>Apenas indica a posição da célula dentro da folha de cálculo.</t>
  </si>
  <si>
    <t>A1 → Endereço da Célula</t>
  </si>
  <si>
    <t>👇</t>
  </si>
  <si>
    <t>Linha</t>
  </si>
  <si>
    <t>Coluna</t>
  </si>
  <si>
    <t>Se o valor na célula referenciada muda, todas as fórmulas que dependem dessa célula (referência) são automaticamente atualizadas.</t>
  </si>
  <si>
    <t>Indica ao Excel onde localizar os valores ou dados a serem utilizados.</t>
  </si>
  <si>
    <t>Referência de uma Célula:</t>
  </si>
  <si>
    <t>endereço da célula</t>
  </si>
  <si>
    <t>&lt;=&gt;</t>
  </si>
  <si>
    <t>Referencia</t>
  </si>
  <si>
    <t>=C4+E4</t>
  </si>
  <si>
    <t>ou</t>
  </si>
  <si>
    <t>=1+1</t>
  </si>
  <si>
    <t>4. Cria uma fórmula que verifique se uma célula está vazia e mostre 'Por preencher' ou o seu conteúdo.</t>
  </si>
  <si>
    <t>3. Combina SE() com E() para mostrar 'Aprovado com distinção' se nota&gt;=16 E assiduidade&gt;=90%, senão 'Aprovado' se nota&gt;=10, senão 'Reprovado'.</t>
  </si>
  <si>
    <t>2. Escreve um SE() aninhado que classifique temperaturas: 'Frio' (&lt;10°), 'Ameno' (10-25°), 'Quente' (&gt;25°).</t>
  </si>
  <si>
    <t>1. Escreve uma fórmula SE() que mostre 'Par' se um número for divisível por 2, ou 'Ímpar' caso contrário. (Dica: usa MOD())</t>
  </si>
  <si>
    <t>Usa NÃO() para inverter a condição</t>
  </si>
  <si>
    <t>SE(NÃO(C43&gt;=10);"Reprovado";"Aprovado")</t>
  </si>
  <si>
    <t>Excelente apenas com 19 ou 20</t>
  </si>
  <si>
    <t>SE(OU(C43=20;C43=19);"Excelente";"Outro")</t>
  </si>
  <si>
    <t>Nota válida se entre 10 e 20</t>
  </si>
  <si>
    <t>SE(E(C43&gt;=10;C43&lt;=20);"Válida";"Inválida")</t>
  </si>
  <si>
    <t>Classificação por escalão</t>
  </si>
  <si>
    <t>SE(C43&gt;=18;"MB";SE(C43&gt;=14;"B";SE(C43&gt;=10;"S";"I")))</t>
  </si>
  <si>
    <t>Aprovado se nota &gt;= 10</t>
  </si>
  <si>
    <t>SE(C43&gt;=10;"Aprovado";"Reprovado")</t>
  </si>
  <si>
    <t>Fórmula SE()</t>
  </si>
  <si>
    <t>← altera esta nota</t>
  </si>
  <si>
    <t>Nota (0-20):</t>
  </si>
  <si>
    <t>Altera a nota na célula C43 e observa como as fórmulas SE() respondem automaticamente.</t>
  </si>
  <si>
    <t>0 a 9</t>
  </si>
  <si>
    <t>Insuficiente</t>
  </si>
  <si>
    <t>&lt; 10</t>
  </si>
  <si>
    <t>10, 11, 12 ou 13</t>
  </si>
  <si>
    <t>Suficiente</t>
  </si>
  <si>
    <t>&gt;= 10 (e &lt; 14)</t>
  </si>
  <si>
    <t>14, 15, 16 ou 17</t>
  </si>
  <si>
    <t>Bom</t>
  </si>
  <si>
    <t>&gt;= 14 (e &lt; 18)</t>
  </si>
  <si>
    <t>18, 19 ou 20</t>
  </si>
  <si>
    <t>Muito Bom</t>
  </si>
  <si>
    <t>&gt;= 18</t>
  </si>
  <si>
    <t>Classificação</t>
  </si>
  <si>
    <t>Nota</t>
  </si>
  <si>
    <t>Exemplo notas: SE(A1&gt;=18;"Muito Bom"; SE(A1&gt;=14;"Bom"; SE(A1&gt;=10;"Suficiente";"Insuficiente")))</t>
  </si>
  <si>
    <t>Menos de 6 anos</t>
  </si>
  <si>
    <t>Bebé</t>
  </si>
  <si>
    <t>A1 &lt; 6</t>
  </si>
  <si>
    <t>Entre 6 e 11 anos</t>
  </si>
  <si>
    <t>Criança</t>
  </si>
  <si>
    <t>A1 &gt;= 6 (e &lt; 12)</t>
  </si>
  <si>
    <t>Entre 12 e 17 anos</t>
  </si>
  <si>
    <t>Adolescente</t>
  </si>
  <si>
    <t>A1 &gt;= 12 (e &lt; 18)</t>
  </si>
  <si>
    <t>18 anos ou mais</t>
  </si>
  <si>
    <t>Adulto</t>
  </si>
  <si>
    <t>A1 &gt;= 18</t>
  </si>
  <si>
    <t>Intervalo de idades</t>
  </si>
  <si>
    <t>Exemplo: SE(A1&gt;=18;"Adulto"; SE(A1&gt;=12;"Adolescente"; SE(A1&gt;=6;"Criança";"Bebé")))</t>
  </si>
  <si>
    <t>Quando tens mais de duas opções, podes colocar um SE() dentro do valor_se_falso de outro SE().</t>
  </si>
  <si>
    <t>Parte 4 — SE() aninhado (SE dentro de SE)</t>
  </si>
  <si>
    <t>Se algum campo estiver vazio → Incompleto</t>
  </si>
  <si>
    <t>Quando A1 OU B1 estão vazios</t>
  </si>
  <si>
    <t>SE(OU(A1="";B1="");"Incompleto";"Completo")</t>
  </si>
  <si>
    <t>Se A1=50 → Válido; Se A1=0 ou A1=101 → Inválido</t>
  </si>
  <si>
    <t>Quando A1 está entre 1 e 100 (inclusive)</t>
  </si>
  <si>
    <t>SE(E(A1&gt;0;A1&lt;=100);"Válido";"Inválido")</t>
  </si>
  <si>
    <t>Se A1=12 e B1=8 → Aprovado; Se A1=7 e B1=6 → Reprovado</t>
  </si>
  <si>
    <t>Quando A1&gt;=10 OU B1&gt;=10 (pelo menos uma nota positiva)</t>
  </si>
  <si>
    <t>SE(OU(A1&gt;=10;B1&gt;=10);"Aprovado";"Reprovado")</t>
  </si>
  <si>
    <t>Se A1=12 e B1=14 → Aprovado; Se A1=12 e B1=8 → Reprovado</t>
  </si>
  <si>
    <t>Quando A1&gt;=10 E B1&gt;=10 (ambas as notas positivas)</t>
  </si>
  <si>
    <t>SE(E(A1&gt;=10;B1&gt;=10);"Aprovado";"Reprovado")</t>
  </si>
  <si>
    <t>Quando devolve o 1.º resultado</t>
  </si>
  <si>
    <t>Podes usar E() e OU() dentro do SE() para combinar várias condições no teste lógico.</t>
  </si>
  <si>
    <t>Parte 3 — SE() com E() e OU()</t>
  </si>
  <si>
    <t>Se A1=1200 → 60; Se A1=800 → 0</t>
  </si>
  <si>
    <t>Sem bónus</t>
  </si>
  <si>
    <t>5% do valor</t>
  </si>
  <si>
    <t>SE(A1&gt;1000;A1*0.05;0)</t>
  </si>
  <si>
    <t>Calcular bónus</t>
  </si>
  <si>
    <t>Se A1=0 → Esgotado; Se A1=5 → Disponível</t>
  </si>
  <si>
    <t>Disponível</t>
  </si>
  <si>
    <t>Esgotado</t>
  </si>
  <si>
    <t>SE(A1=0;"Esgotado";"Disponível")</t>
  </si>
  <si>
    <t>Verificar stock</t>
  </si>
  <si>
    <t>Se A1=150 → 135; Se A1=80 → 80</t>
  </si>
  <si>
    <t>Preço original</t>
  </si>
  <si>
    <t>Preço com 10% desconto</t>
  </si>
  <si>
    <t>SE(A1&gt;100;A1*0.9;A1)</t>
  </si>
  <si>
    <t>Aplicar desconto</t>
  </si>
  <si>
    <t>Se A1=5 → Positivo; Se A1=-3 → Zero ou negativo</t>
  </si>
  <si>
    <t>Zero ou negativo</t>
  </si>
  <si>
    <t>Positivo</t>
  </si>
  <si>
    <t>SE(A1&gt;0;"Positivo";"Zero ou negativo")</t>
  </si>
  <si>
    <t>Verificar se valor é positivo</t>
  </si>
  <si>
    <t>Se A1=14 → Aprovado; Se A1=8 → Reprovado</t>
  </si>
  <si>
    <t>Reprovado</t>
  </si>
  <si>
    <t>Aprovado</t>
  </si>
  <si>
    <t>SE(A1&gt;=10;"Aprovado";"Reprovado")</t>
  </si>
  <si>
    <t>Verificar se nota é positiva</t>
  </si>
  <si>
    <t>Se FALSO</t>
  </si>
  <si>
    <t>Se VERDADEIRO</t>
  </si>
  <si>
    <t>Situação</t>
  </si>
  <si>
    <t>Parte 2 — Exemplos básicos</t>
  </si>
  <si>
    <t>Opcional — resultado se FALSO</t>
  </si>
  <si>
    <t>Obrigatório — resultado se VERDADEIRO</t>
  </si>
  <si>
    <t>Obrigatório — condição a testar</t>
  </si>
  <si>
    <t>Obrigatório</t>
  </si>
  <si>
    <t>valor_se_falso</t>
  </si>
  <si>
    <t>valor_se_verdadeiro</t>
  </si>
  <si>
    <t>teste_lógico</t>
  </si>
  <si>
    <t>Parte 1 — Estrutura da função SE()</t>
  </si>
  <si>
    <t>A função SE() permite tomar decisões: se uma condição for verdadeira, faz uma coisa; se for falsa, faz outra.</t>
  </si>
  <si>
    <t>Condicionais — Função SE()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</si>
</sst>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1"/>
      <color theme="1"/>
      <name val="Calibri"/>
      <family val="2"/>
      <charset val="1"/>
    </font>
    <font>
      <sz val="11"/>
      <color theme="1"/>
      <name val="Segoe UI Emoji"/>
      <family val="2"/>
    </font>
    <font>
      <sz val="11"/>
      <color theme="1"/>
      <name val="Segoe UI Emoji"/>
      <family val="2"/>
    </font>
    <font>
      <sz val="11"/>
      <color theme="1"/>
      <name val="Calibri"/>
      <family val="2"/>
      <charset val="1"/>
    </font>
    <font>
      <sz val="11"/>
      <color rgb="FF9C0006"/>
      <name val="Segoe UI Emoji"/>
      <family val="2"/>
    </font>
    <font>
      <sz val="11"/>
      <color rgb="FF9C5700"/>
      <name val="Segoe UI Emoji"/>
      <family val="2"/>
    </font>
    <font>
      <b/>
      <sz val="16"/>
      <color rgb="FF1F4E79"/>
      <name val="Segoe UI Emoji"/>
      <family val="2"/>
    </font>
    <font>
      <sz val="11"/>
      <color rgb="FF404040"/>
      <name val="Segoe UI Emoji"/>
      <family val="2"/>
    </font>
    <font>
      <b/>
      <sz val="13"/>
      <color rgb="FFFFFFFF"/>
      <name val="Segoe UI Emoji"/>
      <family val="2"/>
    </font>
    <font>
      <b/>
      <sz val="14"/>
      <color rgb="FF1F4E79"/>
      <name val="Segoe UI Emoji"/>
      <family val="2"/>
    </font>
    <font>
      <b/>
      <sz val="12"/>
      <color rgb="FFFFFFFF"/>
      <name val="Segoe UI Emoji"/>
      <family val="2"/>
    </font>
    <font>
      <b/>
      <sz val="12"/>
      <color rgb="FF9C5700"/>
      <name val="Segoe UI Emoji"/>
      <family val="2"/>
    </font>
    <font>
      <b/>
      <sz val="11"/>
      <color rgb="FF1F4E79"/>
      <name val="Segoe UI Emoji"/>
      <family val="2"/>
    </font>
    <font>
      <b/>
      <sz val="11"/>
      <color rgb="FF9C5700"/>
      <name val="Segoe UI Emoji"/>
      <family val="2"/>
    </font>
    <font>
      <b/>
      <sz val="11"/>
      <color rgb="FFFFFFFF"/>
      <name val="Segoe UI Emoji"/>
      <family val="2"/>
    </font>
    <font>
      <sz val="11"/>
      <color rgb="FF000000"/>
      <name val="Segoe UI Emoji"/>
      <family val="2"/>
    </font>
    <font>
      <b/>
      <sz val="11"/>
      <color rgb="FF276221"/>
      <name val="Segoe UI Emoji"/>
      <family val="2"/>
    </font>
    <font>
      <b/>
      <sz val="11"/>
      <color rgb="FF9C0006"/>
      <name val="Segoe UI Emoji"/>
      <family val="2"/>
    </font>
    <font>
      <sz val="11"/>
      <color rgb="FF1F4E79"/>
      <name val="Segoe UI Emoji"/>
      <family val="2"/>
    </font>
    <font>
      <b/>
      <sz val="11"/>
      <name val="Segoe UI Emoji"/>
      <family val="2"/>
    </font>
    <font>
      <b/>
      <sz val="13"/>
      <color rgb="FF1F4E79"/>
      <name val="Segoe UI Emoji"/>
      <family val="2"/>
    </font>
    <font>
      <sz val="11"/>
      <name val="Segoe UI Emoji"/>
      <family val="2"/>
    </font>
    <font>
      <b/>
      <sz val="12"/>
      <color rgb="FF1F4E79"/>
      <name val="Segoe UI Emoji"/>
      <family val="2"/>
    </font>
    <font>
      <sz val="11"/>
      <color rgb="FF276221"/>
      <name val="Segoe UI Emoji"/>
      <family val="2"/>
    </font>
    <font>
      <sz val="11"/>
      <color rgb="FF595959"/>
      <name val="Segoe UI Emoji"/>
      <family val="2"/>
    </font>
    <font>
      <i/>
      <sz val="11"/>
      <color rgb="FF595959"/>
      <name val="Segoe UI Emoji"/>
      <family val="2"/>
    </font>
    <font>
      <b/>
      <sz val="11"/>
      <color rgb="FF000000"/>
      <name val="Segoe UI Emoji"/>
      <family val="2"/>
    </font>
    <font>
      <sz val="10"/>
      <color rgb="FF595959"/>
      <name val="Segoe UI Emoji"/>
      <family val="2"/>
    </font>
    <font>
      <sz val="10"/>
      <color rgb="FF000000"/>
      <name val="Segoe UI Emoji"/>
      <family val="2"/>
    </font>
    <font>
      <sz val="11"/>
      <color theme="1"/>
      <name val="Segoe UI Emoji"/>
      <family val="2"/>
      <charset val="1"/>
    </font>
    <font>
      <b/>
      <sz val="10"/>
      <color theme="1"/>
      <name val="Segoe UI Emoji"/>
      <family val="2"/>
      <charset val="1"/>
    </font>
    <font>
      <sz val="11"/>
      <color rgb="FFFFC000"/>
      <name val="Segoe UI Emoji"/>
      <family val="2"/>
      <charset val="1"/>
    </font>
    <font>
      <sz val="11"/>
      <color rgb="FF0070C0"/>
      <name val="Segoe UI Emoji"/>
      <family val="2"/>
      <charset val="1"/>
    </font>
    <font>
      <sz val="11"/>
      <color rgb="FF217346"/>
      <name val="Segoe UI Emoji"/>
      <family val="2"/>
      <charset val="1"/>
    </font>
    <font>
      <b/>
      <sz val="13.5"/>
      <color theme="1"/>
      <name val="Segoe UI Emoji"/>
      <family val="2"/>
      <charset val="1"/>
    </font>
    <font>
      <sz val="16"/>
      <color theme="5" tint="-0.249977111117893"/>
      <name val="Segoe UI Emoji"/>
      <family val="2"/>
      <charset val="1"/>
    </font>
    <font>
      <sz val="16"/>
      <color theme="1"/>
      <name val="Segoe UI Emoji"/>
      <family val="2"/>
      <charset val="1"/>
    </font>
    <font>
      <sz val="11"/>
      <color theme="9" tint="-0.249977111117893"/>
      <name val="Segoe UI Emoji"/>
      <family val="2"/>
      <charset val="1"/>
    </font>
    <font>
      <b/>
      <sz val="11"/>
      <color theme="1"/>
      <name val="Segoe UI Emoji"/>
      <family val="2"/>
      <charset val="1"/>
    </font>
    <font>
      <b/>
      <sz val="18"/>
      <color rgb="FF1F4E79"/>
      <name val="Segoe UI Emoji"/>
      <family val="2"/>
    </font>
    <font>
      <i/>
      <sz val="12"/>
      <color rgb="FF404040"/>
      <name val="Segoe UI Emoji"/>
      <family val="2"/>
    </font>
    <font>
      <i/>
      <sz val="10"/>
      <color rgb="FF1F4E79"/>
      <name val="Segoe UI Emoji"/>
      <family val="2"/>
    </font>
    <font>
      <i/>
      <sz val="10"/>
      <color rgb="FF276221"/>
      <name val="Segoe UI Emoji"/>
      <family val="2"/>
    </font>
    <font>
      <i/>
      <sz val="10"/>
      <color rgb="FF9C0006"/>
      <name val="Segoe UI Emoji"/>
      <family val="2"/>
    </font>
    <font>
      <b/>
      <sz val="10"/>
      <color rgb="FF1F4E79"/>
      <name val="Segoe UI Emoji"/>
      <family val="2"/>
    </font>
    <font>
      <b/>
      <sz val="10"/>
      <color rgb="FF276221"/>
      <name val="Segoe UI Emoji"/>
      <family val="2"/>
    </font>
    <font>
      <b/>
      <sz val="10"/>
      <color rgb="FF9C0006"/>
      <name val="Segoe UI Emoji"/>
      <family val="2"/>
    </font>
    <font>
      <b/>
      <sz val="10"/>
      <color rgb="FF9C5700"/>
      <name val="Segoe UI Emoji"/>
      <family val="2"/>
    </font>
    <font>
      <b/>
      <sz val="14"/>
      <color rgb="FF000000"/>
      <name val="Segoe UI Emoji"/>
      <family val="2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1F6B5B"/>
      </patternFill>
    </fill>
    <fill>
      <patternFill patternType="solid">
        <fgColor rgb="FFDCE6F1"/>
        <bgColor rgb="FFD6E4F0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DCE6F1"/>
      </patternFill>
    </fill>
    <fill>
      <patternFill patternType="solid">
        <fgColor rgb="FFF2F2F2"/>
        <bgColor rgb="FFFFFFFF"/>
      </patternFill>
    </fill>
    <fill>
      <patternFill patternType="solid">
        <fgColor rgb="FFFFEB9C"/>
        <bgColor rgb="FFF2F2F2"/>
      </patternFill>
    </fill>
    <fill>
      <patternFill patternType="solid">
        <fgColor rgb="FF1F6B5B"/>
        <bgColor rgb="FF276221"/>
      </patternFill>
    </fill>
    <fill>
      <patternFill patternType="solid">
        <fgColor rgb="FF276221"/>
        <bgColor rgb="FF1F6B5B"/>
      </patternFill>
    </fill>
    <fill>
      <patternFill patternType="solid">
        <fgColor rgb="FFC6EFCE"/>
        <bgColor rgb="FFD6E4F0"/>
      </patternFill>
    </fill>
    <fill>
      <patternFill patternType="solid">
        <fgColor rgb="FFFFC7CE"/>
        <bgColor rgb="FFFFEB9C"/>
      </patternFill>
    </fill>
    <fill>
      <patternFill patternType="solid">
        <fgColor rgb="FF276221"/>
        <bgColor rgb="FF217346"/>
      </patternFill>
    </fill>
    <fill>
      <patternFill patternType="solid">
        <fgColor rgb="FFFFFFFF"/>
        <bgColor rgb="FFF7F7F7"/>
      </patternFill>
    </fill>
    <fill>
      <patternFill patternType="solid">
        <fgColor rgb="FFFFEB9C"/>
        <bgColor rgb="FFFFF6DD"/>
      </patternFill>
    </fill>
    <fill>
      <patternFill patternType="solid">
        <fgColor rgb="FF1F6B5B"/>
        <bgColor rgb="FF217346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287">
    <xf numFmtId="0" fontId="0" fillId="0" borderId="0" xfId="0"/>
    <xf numFmtId="0" fontId="2" fillId="0" borderId="0" xfId="0" applyFont="1"/>
    <xf numFmtId="0" fontId="14" fillId="2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3" borderId="1" xfId="0" applyFont="1" applyFill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4" borderId="1" xfId="0" applyFont="1" applyFill="1" applyBorder="1" applyAlignment="1">
      <alignment vertical="center" wrapText="1"/>
    </xf>
    <xf numFmtId="0" fontId="20" fillId="0" borderId="0" xfId="0" applyFont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vertical="center" wrapText="1"/>
    </xf>
    <xf numFmtId="0" fontId="21" fillId="3" borderId="1" xfId="0" applyFont="1" applyFill="1" applyBorder="1" applyAlignment="1">
      <alignment vertical="center"/>
    </xf>
    <xf numFmtId="3" fontId="21" fillId="0" borderId="1" xfId="0" applyNumberFormat="1" applyFont="1" applyBorder="1" applyAlignment="1">
      <alignment vertical="center"/>
    </xf>
    <xf numFmtId="3" fontId="16" fillId="10" borderId="1" xfId="0" applyNumberFormat="1" applyFont="1" applyFill="1" applyBorder="1" applyAlignment="1">
      <alignment vertical="center"/>
    </xf>
    <xf numFmtId="0" fontId="21" fillId="4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vertical="center"/>
    </xf>
    <xf numFmtId="0" fontId="14" fillId="2" borderId="2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4" fillId="2" borderId="4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9" fontId="14" fillId="2" borderId="1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1" fillId="0" borderId="0" xfId="0" applyFont="1" applyAlignment="1">
      <alignment vertical="center" wrapText="1"/>
    </xf>
    <xf numFmtId="0" fontId="12" fillId="5" borderId="0" xfId="0" applyFont="1" applyFill="1" applyAlignment="1">
      <alignment vertical="center"/>
    </xf>
    <xf numFmtId="0" fontId="13" fillId="7" borderId="0" xfId="0" applyFont="1" applyFill="1" applyAlignment="1">
      <alignment vertical="center"/>
    </xf>
    <xf numFmtId="0" fontId="22" fillId="0" borderId="3" xfId="0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0" fontId="21" fillId="6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8" fillId="9" borderId="0" xfId="0" applyFont="1" applyFill="1" applyAlignment="1">
      <alignment vertical="center"/>
    </xf>
    <xf numFmtId="0" fontId="8" fillId="8" borderId="0" xfId="0" applyFont="1" applyFill="1" applyAlignment="1">
      <alignment vertical="center"/>
    </xf>
    <xf numFmtId="0" fontId="2" fillId="0" borderId="0" xfId="1" applyFont="1"/>
    <xf numFmtId="0" fontId="7" fillId="0" borderId="0" xfId="1" applyFont="1" applyAlignment="1">
      <alignment horizontal="left" vertical="center" wrapText="1"/>
    </xf>
    <xf numFmtId="0" fontId="16" fillId="10" borderId="1" xfId="1" applyFont="1" applyFill="1" applyBorder="1" applyAlignment="1">
      <alignment horizontal="center" vertical="center"/>
    </xf>
    <xf numFmtId="0" fontId="12" fillId="4" borderId="1" xfId="1" applyFont="1" applyFill="1" applyBorder="1" applyAlignment="1">
      <alignment horizontal="left" vertical="center"/>
    </xf>
    <xf numFmtId="0" fontId="15" fillId="4" borderId="1" xfId="1" applyFont="1" applyFill="1" applyBorder="1" applyAlignment="1">
      <alignment horizontal="left" vertical="center"/>
    </xf>
    <xf numFmtId="0" fontId="12" fillId="3" borderId="1" xfId="1" applyFont="1" applyFill="1" applyBorder="1" applyAlignment="1">
      <alignment horizontal="left" vertical="center"/>
    </xf>
    <xf numFmtId="0" fontId="15" fillId="3" borderId="1" xfId="1" applyFont="1" applyFill="1" applyBorder="1" applyAlignment="1">
      <alignment horizontal="left" vertical="center"/>
    </xf>
    <xf numFmtId="0" fontId="14" fillId="2" borderId="1" xfId="1" applyFont="1" applyFill="1" applyBorder="1" applyAlignment="1">
      <alignment horizontal="center" vertical="center" wrapText="1"/>
    </xf>
    <xf numFmtId="0" fontId="19" fillId="4" borderId="1" xfId="1" applyFont="1" applyFill="1" applyBorder="1" applyAlignment="1">
      <alignment horizontal="center" vertical="center"/>
    </xf>
    <xf numFmtId="0" fontId="15" fillId="7" borderId="1" xfId="1" applyFont="1" applyFill="1" applyBorder="1" applyAlignment="1">
      <alignment horizontal="center" vertical="center"/>
    </xf>
    <xf numFmtId="0" fontId="15" fillId="3" borderId="1" xfId="1" applyFont="1" applyFill="1" applyBorder="1" applyAlignment="1">
      <alignment horizontal="center" vertical="center"/>
    </xf>
    <xf numFmtId="0" fontId="15" fillId="4" borderId="1" xfId="1" applyFont="1" applyFill="1" applyBorder="1" applyAlignment="1">
      <alignment horizontal="center" vertical="center"/>
    </xf>
    <xf numFmtId="0" fontId="14" fillId="8" borderId="1" xfId="1" applyFont="1" applyFill="1" applyBorder="1" applyAlignment="1">
      <alignment horizontal="center" vertical="center"/>
    </xf>
    <xf numFmtId="0" fontId="14" fillId="8" borderId="1" xfId="1" applyFont="1" applyFill="1" applyBorder="1" applyAlignment="1">
      <alignment horizontal="center" vertical="center" wrapText="1"/>
    </xf>
    <xf numFmtId="0" fontId="15" fillId="3" borderId="1" xfId="1" applyFont="1" applyFill="1" applyBorder="1" applyAlignment="1">
      <alignment horizontal="left" vertical="center" wrapText="1"/>
    </xf>
    <xf numFmtId="0" fontId="16" fillId="10" borderId="1" xfId="1" applyFont="1" applyFill="1" applyBorder="1" applyAlignment="1">
      <alignment horizontal="left" vertical="center"/>
    </xf>
    <xf numFmtId="0" fontId="15" fillId="4" borderId="1" xfId="1" applyFont="1" applyFill="1" applyBorder="1" applyAlignment="1">
      <alignment horizontal="left" vertical="center" wrapText="1"/>
    </xf>
    <xf numFmtId="0" fontId="7" fillId="0" borderId="0" xfId="1" applyFont="1" applyAlignment="1">
      <alignment vertical="center"/>
    </xf>
    <xf numFmtId="0" fontId="8" fillId="2" borderId="0" xfId="1" applyFont="1" applyFill="1" applyAlignment="1">
      <alignment vertical="center"/>
    </xf>
    <xf numFmtId="0" fontId="14" fillId="2" borderId="1" xfId="1" applyFont="1" applyFill="1" applyBorder="1" applyAlignment="1">
      <alignment horizontal="center" vertical="center"/>
    </xf>
    <xf numFmtId="0" fontId="13" fillId="7" borderId="1" xfId="1" applyFont="1" applyFill="1" applyBorder="1" applyAlignment="1">
      <alignment horizontal="center" vertical="center"/>
    </xf>
    <xf numFmtId="0" fontId="17" fillId="11" borderId="1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vertical="center"/>
    </xf>
    <xf numFmtId="0" fontId="10" fillId="2" borderId="1" xfId="1" applyFont="1" applyFill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21" fillId="0" borderId="1" xfId="0" applyFont="1" applyBorder="1"/>
    <xf numFmtId="0" fontId="21" fillId="4" borderId="1" xfId="0" applyFont="1" applyFill="1" applyBorder="1"/>
    <xf numFmtId="0" fontId="7" fillId="0" borderId="0" xfId="0" applyFont="1"/>
    <xf numFmtId="0" fontId="21" fillId="3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4" fontId="21" fillId="0" borderId="1" xfId="0" applyNumberFormat="1" applyFont="1" applyBorder="1" applyAlignment="1">
      <alignment vertical="center"/>
    </xf>
    <xf numFmtId="4" fontId="16" fillId="10" borderId="1" xfId="0" applyNumberFormat="1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2"/>
    <xf numFmtId="0" fontId="19" fillId="0" borderId="1" xfId="2" applyFont="1" applyBorder="1" applyAlignment="1">
      <alignment horizontal="center" vertical="center"/>
    </xf>
    <xf numFmtId="0" fontId="15" fillId="3" borderId="1" xfId="2" applyFont="1" applyFill="1" applyBorder="1" applyAlignment="1">
      <alignment horizontal="left" vertical="center"/>
    </xf>
    <xf numFmtId="0" fontId="15" fillId="13" borderId="1" xfId="2" applyFont="1" applyFill="1" applyBorder="1" applyAlignment="1">
      <alignment horizontal="left" vertical="center"/>
    </xf>
    <xf numFmtId="0" fontId="14" fillId="2" borderId="1" xfId="2" applyFont="1" applyFill="1" applyBorder="1" applyAlignment="1">
      <alignment horizontal="center" vertical="center"/>
    </xf>
    <xf numFmtId="0" fontId="25" fillId="0" borderId="0" xfId="2" applyFont="1" applyAlignment="1">
      <alignment horizontal="left" vertical="center"/>
    </xf>
    <xf numFmtId="0" fontId="26" fillId="14" borderId="11" xfId="2" applyFont="1" applyFill="1" applyBorder="1" applyAlignment="1">
      <alignment horizontal="center" vertical="center"/>
    </xf>
    <xf numFmtId="0" fontId="12" fillId="0" borderId="0" xfId="2" applyFont="1" applyAlignment="1">
      <alignment horizontal="right" vertical="center"/>
    </xf>
    <xf numFmtId="0" fontId="26" fillId="14" borderId="1" xfId="2" applyFont="1" applyFill="1" applyBorder="1" applyAlignment="1">
      <alignment horizontal="center" vertical="center"/>
    </xf>
    <xf numFmtId="0" fontId="28" fillId="13" borderId="5" xfId="2" applyFont="1" applyFill="1" applyBorder="1" applyAlignment="1">
      <alignment horizontal="left" vertical="center"/>
    </xf>
    <xf numFmtId="0" fontId="28" fillId="3" borderId="5" xfId="2" applyFont="1" applyFill="1" applyBorder="1" applyAlignment="1">
      <alignment horizontal="left" vertical="center"/>
    </xf>
    <xf numFmtId="0" fontId="28" fillId="13" borderId="10" xfId="2" applyFont="1" applyFill="1" applyBorder="1" applyAlignment="1">
      <alignment horizontal="left" vertical="center"/>
    </xf>
    <xf numFmtId="0" fontId="17" fillId="11" borderId="11" xfId="2" applyFont="1" applyFill="1" applyBorder="1" applyAlignment="1">
      <alignment horizontal="center" vertical="center"/>
    </xf>
    <xf numFmtId="0" fontId="16" fillId="16" borderId="1" xfId="2" applyFont="1" applyFill="1" applyBorder="1" applyAlignment="1">
      <alignment horizontal="center" vertical="center"/>
    </xf>
    <xf numFmtId="0" fontId="17" fillId="11" borderId="7" xfId="2" applyFont="1" applyFill="1" applyBorder="1" applyAlignment="1">
      <alignment horizontal="center" vertical="center"/>
    </xf>
    <xf numFmtId="0" fontId="16" fillId="10" borderId="1" xfId="2" applyFont="1" applyFill="1" applyBorder="1" applyAlignment="1">
      <alignment horizontal="center" vertical="center"/>
    </xf>
    <xf numFmtId="0" fontId="17" fillId="11" borderId="6" xfId="2" applyFont="1" applyFill="1" applyBorder="1" applyAlignment="1">
      <alignment horizontal="center" vertical="center"/>
    </xf>
    <xf numFmtId="0" fontId="17" fillId="11" borderId="1" xfId="2" applyFont="1" applyFill="1" applyBorder="1" applyAlignment="1">
      <alignment horizontal="center" vertical="center"/>
    </xf>
    <xf numFmtId="0" fontId="16" fillId="10" borderId="11" xfId="2" applyFont="1" applyFill="1" applyBorder="1" applyAlignment="1">
      <alignment horizontal="center" vertical="center"/>
    </xf>
    <xf numFmtId="0" fontId="16" fillId="10" borderId="6" xfId="2" applyFont="1" applyFill="1" applyBorder="1" applyAlignment="1">
      <alignment horizontal="center" vertical="center"/>
    </xf>
    <xf numFmtId="0" fontId="14" fillId="2" borderId="12" xfId="2" applyFont="1" applyFill="1" applyBorder="1" applyAlignment="1">
      <alignment horizontal="center" vertical="center"/>
    </xf>
    <xf numFmtId="0" fontId="14" fillId="2" borderId="8" xfId="2" applyFont="1" applyFill="1" applyBorder="1" applyAlignment="1">
      <alignment horizontal="center" vertical="center"/>
    </xf>
    <xf numFmtId="0" fontId="14" fillId="2" borderId="13" xfId="2" applyFont="1" applyFill="1" applyBorder="1" applyAlignment="1">
      <alignment horizontal="center" vertical="center"/>
    </xf>
    <xf numFmtId="0" fontId="5" fillId="14" borderId="1" xfId="2" applyFont="1" applyFill="1" applyBorder="1" applyAlignment="1">
      <alignment horizontal="left" vertical="center"/>
    </xf>
    <xf numFmtId="0" fontId="24" fillId="0" borderId="1" xfId="2" applyFont="1" applyBorder="1" applyAlignment="1">
      <alignment horizontal="left" vertical="center"/>
    </xf>
    <xf numFmtId="0" fontId="24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29" fillId="0" borderId="0" xfId="1" applyFont="1" applyAlignment="1">
      <alignment horizontal="center"/>
    </xf>
    <xf numFmtId="0" fontId="30" fillId="0" borderId="0" xfId="1" applyFont="1" applyAlignment="1">
      <alignment horizontal="left" vertical="center" indent="1"/>
    </xf>
    <xf numFmtId="0" fontId="29" fillId="0" borderId="0" xfId="1" applyFont="1" applyAlignment="1">
      <alignment horizontal="left" vertical="center" indent="1"/>
    </xf>
    <xf numFmtId="0" fontId="31" fillId="0" borderId="0" xfId="1" applyFont="1" applyAlignment="1">
      <alignment horizontal="center"/>
    </xf>
    <xf numFmtId="0" fontId="31" fillId="0" borderId="0" xfId="1" applyFont="1"/>
    <xf numFmtId="0" fontId="29" fillId="0" borderId="0" xfId="1" applyFont="1"/>
    <xf numFmtId="0" fontId="32" fillId="0" borderId="0" xfId="1" applyFont="1" applyAlignment="1">
      <alignment horizontal="center"/>
    </xf>
    <xf numFmtId="0" fontId="32" fillId="0" borderId="0" xfId="1" applyFont="1"/>
    <xf numFmtId="0" fontId="33" fillId="0" borderId="0" xfId="1" applyFont="1" applyAlignment="1">
      <alignment horizontal="center"/>
    </xf>
    <xf numFmtId="0" fontId="33" fillId="0" borderId="0" xfId="1" applyFont="1"/>
    <xf numFmtId="0" fontId="34" fillId="0" borderId="0" xfId="1" applyFont="1" applyAlignment="1">
      <alignment vertical="center"/>
    </xf>
    <xf numFmtId="0" fontId="29" fillId="0" borderId="0" xfId="1" applyFont="1" applyAlignment="1">
      <alignment horizontal="left"/>
    </xf>
    <xf numFmtId="0" fontId="29" fillId="0" borderId="0" xfId="1" applyFont="1" applyAlignment="1">
      <alignment vertical="center"/>
    </xf>
    <xf numFmtId="0" fontId="29" fillId="0" borderId="0" xfId="1" applyFont="1" applyAlignment="1">
      <alignment horizontal="center" vertical="center"/>
    </xf>
    <xf numFmtId="0" fontId="29" fillId="0" borderId="0" xfId="1" applyFont="1" applyAlignment="1">
      <alignment horizontal="left" vertical="center"/>
    </xf>
    <xf numFmtId="0" fontId="36" fillId="0" borderId="0" xfId="1" applyFont="1" applyAlignment="1">
      <alignment horizontal="center"/>
    </xf>
    <xf numFmtId="0" fontId="36" fillId="0" borderId="0" xfId="1" applyFont="1"/>
    <xf numFmtId="0" fontId="38" fillId="0" borderId="0" xfId="1" applyFont="1"/>
    <xf numFmtId="0" fontId="38" fillId="0" borderId="0" xfId="1" applyFont="1" applyAlignment="1">
      <alignment vertical="center"/>
    </xf>
    <xf numFmtId="0" fontId="39" fillId="0" borderId="0" xfId="0" applyFont="1"/>
    <xf numFmtId="0" fontId="40" fillId="0" borderId="0" xfId="0" applyFont="1"/>
    <xf numFmtId="0" fontId="25" fillId="0" borderId="0" xfId="0" applyFont="1"/>
    <xf numFmtId="0" fontId="20" fillId="0" borderId="0" xfId="0" applyFont="1"/>
    <xf numFmtId="0" fontId="19" fillId="3" borderId="1" xfId="0" applyFont="1" applyFill="1" applyBorder="1"/>
    <xf numFmtId="0" fontId="35" fillId="0" borderId="0" xfId="1" applyFont="1" applyAlignment="1">
      <alignment horizontal="center" vertical="center"/>
    </xf>
    <xf numFmtId="0" fontId="29" fillId="0" borderId="0" xfId="1" applyFont="1" applyAlignment="1">
      <alignment horizontal="center"/>
    </xf>
    <xf numFmtId="0" fontId="37" fillId="0" borderId="0" xfId="1" applyFont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/>
    </xf>
    <xf numFmtId="0" fontId="8" fillId="9" borderId="0" xfId="0" applyFont="1" applyFill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left" vertical="center"/>
    </xf>
    <xf numFmtId="0" fontId="21" fillId="4" borderId="1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21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23" fillId="10" borderId="1" xfId="0" applyFont="1" applyFill="1" applyBorder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7" fillId="3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18" fillId="4" borderId="5" xfId="1" applyFont="1" applyFill="1" applyBorder="1" applyAlignment="1">
      <alignment horizontal="center" vertical="center" wrapText="1"/>
    </xf>
    <xf numFmtId="0" fontId="18" fillId="4" borderId="6" xfId="1" applyFont="1" applyFill="1" applyBorder="1" applyAlignment="1">
      <alignment horizontal="center" vertical="center" wrapText="1"/>
    </xf>
    <xf numFmtId="0" fontId="18" fillId="3" borderId="5" xfId="1" applyFont="1" applyFill="1" applyBorder="1" applyAlignment="1">
      <alignment horizontal="center" vertical="center" wrapText="1"/>
    </xf>
    <xf numFmtId="0" fontId="18" fillId="3" borderId="6" xfId="1" applyFont="1" applyFill="1" applyBorder="1" applyAlignment="1">
      <alignment horizontal="center" vertical="center" wrapText="1"/>
    </xf>
    <xf numFmtId="0" fontId="7" fillId="3" borderId="5" xfId="1" applyFont="1" applyFill="1" applyBorder="1" applyAlignment="1">
      <alignment horizontal="center" vertical="center" wrapText="1"/>
    </xf>
    <xf numFmtId="0" fontId="7" fillId="3" borderId="6" xfId="1" applyFont="1" applyFill="1" applyBorder="1" applyAlignment="1">
      <alignment horizontal="center" vertical="center" wrapText="1"/>
    </xf>
    <xf numFmtId="0" fontId="7" fillId="4" borderId="5" xfId="1" applyFont="1" applyFill="1" applyBorder="1" applyAlignment="1">
      <alignment horizontal="center" vertical="center" wrapText="1"/>
    </xf>
    <xf numFmtId="0" fontId="7" fillId="4" borderId="6" xfId="1" applyFont="1" applyFill="1" applyBorder="1" applyAlignment="1">
      <alignment horizontal="center" vertical="center" wrapText="1"/>
    </xf>
    <xf numFmtId="0" fontId="15" fillId="4" borderId="1" xfId="1" applyFont="1" applyFill="1" applyBorder="1" applyAlignment="1">
      <alignment horizontal="left" vertical="center" wrapText="1"/>
    </xf>
    <xf numFmtId="0" fontId="15" fillId="3" borderId="1" xfId="1" applyFont="1" applyFill="1" applyBorder="1" applyAlignment="1">
      <alignment horizontal="left" vertical="center" wrapText="1"/>
    </xf>
    <xf numFmtId="0" fontId="14" fillId="2" borderId="5" xfId="1" applyFont="1" applyFill="1" applyBorder="1" applyAlignment="1">
      <alignment horizontal="center" vertical="center" wrapText="1"/>
    </xf>
    <xf numFmtId="0" fontId="14" fillId="2" borderId="6" xfId="1" applyFont="1" applyFill="1" applyBorder="1" applyAlignment="1">
      <alignment horizontal="center" vertical="center" wrapText="1"/>
    </xf>
    <xf numFmtId="0" fontId="15" fillId="3" borderId="5" xfId="1" applyFont="1" applyFill="1" applyBorder="1" applyAlignment="1">
      <alignment horizontal="center" vertical="center"/>
    </xf>
    <xf numFmtId="0" fontId="15" fillId="3" borderId="6" xfId="1" applyFont="1" applyFill="1" applyBorder="1" applyAlignment="1">
      <alignment horizontal="center" vertical="center"/>
    </xf>
    <xf numFmtId="0" fontId="15" fillId="4" borderId="5" xfId="1" applyFont="1" applyFill="1" applyBorder="1" applyAlignment="1">
      <alignment horizontal="center" vertical="center"/>
    </xf>
    <xf numFmtId="0" fontId="15" fillId="4" borderId="6" xfId="1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 wrapText="1"/>
    </xf>
    <xf numFmtId="0" fontId="12" fillId="3" borderId="5" xfId="1" applyFont="1" applyFill="1" applyBorder="1" applyAlignment="1">
      <alignment horizontal="center" vertical="center"/>
    </xf>
    <xf numFmtId="0" fontId="12" fillId="3" borderId="6" xfId="1" applyFont="1" applyFill="1" applyBorder="1" applyAlignment="1">
      <alignment horizontal="center" vertical="center"/>
    </xf>
    <xf numFmtId="0" fontId="12" fillId="4" borderId="5" xfId="1" applyFont="1" applyFill="1" applyBorder="1" applyAlignment="1">
      <alignment horizontal="center" vertical="center"/>
    </xf>
    <xf numFmtId="0" fontId="12" fillId="4" borderId="6" xfId="1" applyFont="1" applyFill="1" applyBorder="1" applyAlignment="1">
      <alignment horizontal="center" vertical="center"/>
    </xf>
    <xf numFmtId="0" fontId="7" fillId="0" borderId="0" xfId="1" applyFont="1" applyAlignment="1">
      <alignment horizontal="left" vertical="center" wrapText="1"/>
    </xf>
    <xf numFmtId="0" fontId="17" fillId="11" borderId="5" xfId="1" applyFont="1" applyFill="1" applyBorder="1" applyAlignment="1">
      <alignment horizontal="center" vertical="center"/>
    </xf>
    <xf numFmtId="0" fontId="17" fillId="11" borderId="6" xfId="1" applyFont="1" applyFill="1" applyBorder="1" applyAlignment="1">
      <alignment horizontal="center" vertical="center"/>
    </xf>
    <xf numFmtId="0" fontId="16" fillId="3" borderId="5" xfId="1" applyFont="1" applyFill="1" applyBorder="1" applyAlignment="1">
      <alignment horizontal="center" vertical="center"/>
    </xf>
    <xf numFmtId="0" fontId="16" fillId="3" borderId="6" xfId="1" applyFont="1" applyFill="1" applyBorder="1" applyAlignment="1">
      <alignment horizontal="center" vertical="center"/>
    </xf>
    <xf numFmtId="0" fontId="16" fillId="4" borderId="5" xfId="1" applyFont="1" applyFill="1" applyBorder="1" applyAlignment="1">
      <alignment horizontal="center" vertical="center"/>
    </xf>
    <xf numFmtId="0" fontId="16" fillId="4" borderId="6" xfId="1" applyFont="1" applyFill="1" applyBorder="1" applyAlignment="1">
      <alignment horizontal="center" vertical="center"/>
    </xf>
    <xf numFmtId="0" fontId="7" fillId="0" borderId="3" xfId="1" applyFont="1" applyBorder="1" applyAlignment="1">
      <alignment horizontal="left" vertical="center" wrapText="1"/>
    </xf>
    <xf numFmtId="0" fontId="8" fillId="8" borderId="0" xfId="1" applyFont="1" applyFill="1" applyAlignment="1">
      <alignment horizontal="left" vertical="center"/>
    </xf>
    <xf numFmtId="0" fontId="8" fillId="9" borderId="0" xfId="1" applyFont="1" applyFill="1" applyAlignment="1">
      <alignment horizontal="left" vertical="center"/>
    </xf>
    <xf numFmtId="0" fontId="11" fillId="7" borderId="0" xfId="1" applyFont="1" applyFill="1" applyAlignment="1">
      <alignment horizontal="center" vertical="center"/>
    </xf>
    <xf numFmtId="0" fontId="7" fillId="0" borderId="2" xfId="1" applyFont="1" applyBorder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2" borderId="0" xfId="1" applyFont="1" applyFill="1" applyAlignment="1">
      <alignment horizontal="center" vertical="center" wrapText="1"/>
    </xf>
    <xf numFmtId="0" fontId="14" fillId="2" borderId="4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left" vertical="center"/>
    </xf>
    <xf numFmtId="0" fontId="7" fillId="0" borderId="3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8" fillId="3" borderId="5" xfId="2" applyFont="1" applyFill="1" applyBorder="1" applyAlignment="1">
      <alignment horizontal="left" vertical="center"/>
    </xf>
    <xf numFmtId="0" fontId="28" fillId="3" borderId="9" xfId="2" applyFont="1" applyFill="1" applyBorder="1" applyAlignment="1">
      <alignment horizontal="left" vertical="center"/>
    </xf>
    <xf numFmtId="0" fontId="28" fillId="3" borderId="6" xfId="2" applyFont="1" applyFill="1" applyBorder="1" applyAlignment="1">
      <alignment horizontal="left" vertical="center"/>
    </xf>
    <xf numFmtId="0" fontId="28" fillId="13" borderId="5" xfId="2" applyFont="1" applyFill="1" applyBorder="1" applyAlignment="1">
      <alignment horizontal="left" vertical="center"/>
    </xf>
    <xf numFmtId="0" fontId="28" fillId="13" borderId="9" xfId="2" applyFont="1" applyFill="1" applyBorder="1" applyAlignment="1">
      <alignment horizontal="left" vertical="center"/>
    </xf>
    <xf numFmtId="0" fontId="28" fillId="13" borderId="6" xfId="2" applyFont="1" applyFill="1" applyBorder="1" applyAlignment="1">
      <alignment horizontal="left" vertical="center"/>
    </xf>
    <xf numFmtId="0" fontId="14" fillId="2" borderId="5" xfId="2" applyFont="1" applyFill="1" applyBorder="1" applyAlignment="1">
      <alignment horizontal="center" vertical="center"/>
    </xf>
    <xf numFmtId="0" fontId="14" fillId="2" borderId="9" xfId="2" applyFont="1" applyFill="1" applyBorder="1" applyAlignment="1">
      <alignment horizontal="center" vertical="center"/>
    </xf>
    <xf numFmtId="0" fontId="14" fillId="2" borderId="6" xfId="2" applyFont="1" applyFill="1" applyBorder="1" applyAlignment="1">
      <alignment horizontal="center" vertical="center"/>
    </xf>
    <xf numFmtId="0" fontId="5" fillId="14" borderId="1" xfId="2" applyFont="1" applyFill="1" applyBorder="1" applyAlignment="1">
      <alignment horizontal="left" vertical="center"/>
    </xf>
    <xf numFmtId="0" fontId="8" fillId="2" borderId="1" xfId="2" applyFont="1" applyFill="1" applyBorder="1" applyAlignment="1">
      <alignment horizontal="center" vertical="center"/>
    </xf>
    <xf numFmtId="0" fontId="24" fillId="0" borderId="1" xfId="2" applyFont="1" applyBorder="1" applyAlignment="1">
      <alignment horizontal="left" vertical="center"/>
    </xf>
    <xf numFmtId="0" fontId="12" fillId="3" borderId="1" xfId="2" applyFont="1" applyFill="1" applyBorder="1" applyAlignment="1">
      <alignment horizontal="center" vertical="center"/>
    </xf>
    <xf numFmtId="0" fontId="12" fillId="13" borderId="1" xfId="2" applyFont="1" applyFill="1" applyBorder="1" applyAlignment="1">
      <alignment horizontal="center" vertical="center"/>
    </xf>
    <xf numFmtId="0" fontId="8" fillId="2" borderId="0" xfId="2" applyFont="1" applyFill="1" applyAlignment="1">
      <alignment horizontal="center" vertical="center"/>
    </xf>
    <xf numFmtId="0" fontId="24" fillId="0" borderId="0" xfId="2" applyFont="1" applyAlignment="1">
      <alignment horizontal="left" vertical="center"/>
    </xf>
    <xf numFmtId="0" fontId="8" fillId="15" borderId="0" xfId="2" applyFont="1" applyFill="1" applyAlignment="1">
      <alignment horizontal="center" vertical="center"/>
    </xf>
    <xf numFmtId="0" fontId="27" fillId="3" borderId="5" xfId="2" applyFont="1" applyFill="1" applyBorder="1" applyAlignment="1">
      <alignment horizontal="left" vertical="center"/>
    </xf>
    <xf numFmtId="0" fontId="27" fillId="3" borderId="9" xfId="2" applyFont="1" applyFill="1" applyBorder="1" applyAlignment="1">
      <alignment horizontal="left" vertical="center"/>
    </xf>
    <xf numFmtId="0" fontId="27" fillId="3" borderId="6" xfId="2" applyFont="1" applyFill="1" applyBorder="1" applyAlignment="1">
      <alignment horizontal="left" vertical="center"/>
    </xf>
    <xf numFmtId="0" fontId="27" fillId="13" borderId="5" xfId="2" applyFont="1" applyFill="1" applyBorder="1" applyAlignment="1">
      <alignment horizontal="left" vertical="center"/>
    </xf>
    <xf numFmtId="0" fontId="27" fillId="13" borderId="9" xfId="2" applyFont="1" applyFill="1" applyBorder="1" applyAlignment="1">
      <alignment horizontal="left" vertical="center"/>
    </xf>
    <xf numFmtId="0" fontId="27" fillId="13" borderId="6" xfId="2" applyFont="1" applyFill="1" applyBorder="1" applyAlignment="1">
      <alignment horizontal="left" vertical="center"/>
    </xf>
    <xf numFmtId="0" fontId="8" fillId="12" borderId="0" xfId="2" applyFont="1" applyFill="1" applyAlignment="1">
      <alignment horizontal="center" vertical="center"/>
    </xf>
    <xf numFmtId="0" fontId="14" fillId="2" borderId="1" xfId="2" applyFont="1" applyFill="1" applyBorder="1" applyAlignment="1">
      <alignment horizontal="center" vertical="center"/>
    </xf>
    <xf numFmtId="0" fontId="12" fillId="3" borderId="5" xfId="2" applyFont="1" applyFill="1" applyBorder="1" applyAlignment="1">
      <alignment horizontal="center" vertical="center"/>
    </xf>
    <xf numFmtId="0" fontId="12" fillId="3" borderId="6" xfId="2" applyFont="1" applyFill="1" applyBorder="1" applyAlignment="1">
      <alignment horizontal="center" vertical="center"/>
    </xf>
    <xf numFmtId="0" fontId="12" fillId="13" borderId="5" xfId="2" applyFont="1" applyFill="1" applyBorder="1" applyAlignment="1">
      <alignment horizontal="center" vertical="center"/>
    </xf>
    <xf numFmtId="0" fontId="12" fillId="13" borderId="6" xfId="2" applyFont="1" applyFill="1" applyBorder="1" applyAlignment="1">
      <alignment horizontal="center" vertical="center"/>
    </xf>
    <xf numFmtId="0" fontId="1" fillId="0" borderId="0" xfId="3" applyFont="1"/>
    <xf numFmtId="0" fontId="6" fillId="0" borderId="0" xfId="3" applyFont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8" fillId="2" borderId="0" xfId="3" applyFont="1" applyFill="1" applyAlignment="1">
      <alignment vertical="center"/>
    </xf>
    <xf numFmtId="0" fontId="8" fillId="2" borderId="0" xfId="3" applyFont="1" applyFill="1" applyBorder="1" applyAlignment="1">
      <alignment vertical="center"/>
    </xf>
    <xf numFmtId="0" fontId="20" fillId="5" borderId="0" xfId="3" applyFont="1" applyFill="1" applyBorder="1" applyAlignment="1">
      <alignment horizontal="right" vertical="center"/>
    </xf>
    <xf numFmtId="0" fontId="20" fillId="5" borderId="0" xfId="3" applyFont="1" applyFill="1" applyBorder="1" applyAlignment="1">
      <alignment horizontal="center" vertical="center"/>
    </xf>
    <xf numFmtId="0" fontId="14" fillId="2" borderId="0" xfId="3" applyFont="1" applyFill="1" applyBorder="1" applyAlignment="1">
      <alignment horizontal="center" vertical="center"/>
    </xf>
    <xf numFmtId="0" fontId="16" fillId="10" borderId="0" xfId="3" applyFont="1" applyFill="1" applyBorder="1" applyAlignment="1">
      <alignment horizontal="center" vertical="center"/>
    </xf>
    <xf numFmtId="0" fontId="17" fillId="11" borderId="0" xfId="3" applyFont="1" applyFill="1" applyBorder="1" applyAlignment="1">
      <alignment horizontal="center" vertical="center"/>
    </xf>
    <xf numFmtId="0" fontId="41" fillId="0" borderId="0" xfId="3" applyFont="1" applyAlignment="1">
      <alignment horizontal="center" vertical="center"/>
    </xf>
    <xf numFmtId="0" fontId="41" fillId="0" borderId="0" xfId="3" applyFont="1" applyAlignment="1">
      <alignment horizontal="center" vertical="center"/>
    </xf>
    <xf numFmtId="0" fontId="42" fillId="0" borderId="0" xfId="3" applyFont="1" applyAlignment="1">
      <alignment horizontal="center" vertical="center"/>
    </xf>
    <xf numFmtId="0" fontId="43" fillId="0" borderId="0" xfId="3" applyFont="1" applyAlignment="1">
      <alignment horizontal="center" vertical="center"/>
    </xf>
    <xf numFmtId="0" fontId="14" fillId="2" borderId="1" xfId="3" applyFont="1" applyFill="1" applyBorder="1" applyAlignment="1">
      <alignment horizontal="center" vertical="center"/>
    </xf>
    <xf numFmtId="0" fontId="14" fillId="2" borderId="2" xfId="3" applyFont="1" applyFill="1" applyBorder="1" applyAlignment="1">
      <alignment horizontal="center" vertical="center"/>
    </xf>
    <xf numFmtId="0" fontId="14" fillId="2" borderId="0" xfId="3" applyFont="1" applyFill="1" applyBorder="1" applyAlignment="1">
      <alignment horizontal="center" vertical="center"/>
    </xf>
    <xf numFmtId="0" fontId="28" fillId="3" borderId="1" xfId="3" applyFont="1" applyFill="1" applyBorder="1" applyAlignment="1">
      <alignment horizontal="left" vertical="center"/>
    </xf>
    <xf numFmtId="0" fontId="44" fillId="3" borderId="1" xfId="3" applyFont="1" applyFill="1" applyBorder="1" applyAlignment="1">
      <alignment horizontal="left" vertical="center"/>
    </xf>
    <xf numFmtId="0" fontId="45" fillId="10" borderId="1" xfId="3" applyFont="1" applyFill="1" applyBorder="1" applyAlignment="1">
      <alignment horizontal="center" vertical="center"/>
    </xf>
    <xf numFmtId="0" fontId="46" fillId="11" borderId="1" xfId="3" applyFont="1" applyFill="1" applyBorder="1" applyAlignment="1">
      <alignment horizontal="center" vertical="center"/>
    </xf>
    <xf numFmtId="0" fontId="27" fillId="3" borderId="2" xfId="3" applyFont="1" applyFill="1" applyBorder="1" applyAlignment="1">
      <alignment horizontal="left" vertical="center"/>
    </xf>
    <xf numFmtId="0" fontId="27" fillId="3" borderId="0" xfId="3" applyFont="1" applyFill="1" applyBorder="1" applyAlignment="1">
      <alignment horizontal="left" vertical="center"/>
    </xf>
    <xf numFmtId="0" fontId="28" fillId="13" borderId="1" xfId="3" applyFont="1" applyFill="1" applyBorder="1" applyAlignment="1">
      <alignment horizontal="left" vertical="center"/>
    </xf>
    <xf numFmtId="0" fontId="44" fillId="13" borderId="1" xfId="3" applyFont="1" applyFill="1" applyBorder="1" applyAlignment="1">
      <alignment horizontal="left" vertical="center"/>
    </xf>
    <xf numFmtId="0" fontId="27" fillId="13" borderId="2" xfId="3" applyFont="1" applyFill="1" applyBorder="1" applyAlignment="1">
      <alignment horizontal="left" vertical="center"/>
    </xf>
    <xf numFmtId="0" fontId="27" fillId="13" borderId="0" xfId="3" applyFont="1" applyFill="1" applyBorder="1" applyAlignment="1">
      <alignment horizontal="left" vertical="center"/>
    </xf>
    <xf numFmtId="0" fontId="27" fillId="3" borderId="1" xfId="3" applyFont="1" applyFill="1" applyBorder="1" applyAlignment="1">
      <alignment horizontal="left" vertical="center"/>
    </xf>
    <xf numFmtId="0" fontId="27" fillId="13" borderId="1" xfId="3" applyFont="1" applyFill="1" applyBorder="1" applyAlignment="1">
      <alignment horizontal="left" vertical="center"/>
    </xf>
    <xf numFmtId="0" fontId="8" fillId="2" borderId="0" xfId="3" applyFont="1" applyFill="1" applyAlignment="1">
      <alignment horizontal="center" vertical="center"/>
    </xf>
    <xf numFmtId="0" fontId="5" fillId="14" borderId="1" xfId="3" applyFont="1" applyFill="1" applyBorder="1" applyAlignment="1">
      <alignment horizontal="left" vertical="center"/>
    </xf>
    <xf numFmtId="0" fontId="8" fillId="15" borderId="0" xfId="3" applyFont="1" applyFill="1" applyAlignment="1">
      <alignment horizontal="center" vertical="center"/>
    </xf>
    <xf numFmtId="0" fontId="12" fillId="0" borderId="0" xfId="3" applyFont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8" fillId="12" borderId="0" xfId="3" applyFont="1" applyFill="1" applyAlignment="1">
      <alignment horizontal="center" vertical="center"/>
    </xf>
    <xf numFmtId="0" fontId="14" fillId="2" borderId="5" xfId="3" applyFont="1" applyFill="1" applyBorder="1" applyAlignment="1">
      <alignment horizontal="center" vertical="center"/>
    </xf>
    <xf numFmtId="0" fontId="14" fillId="2" borderId="6" xfId="3" applyFont="1" applyFill="1" applyBorder="1" applyAlignment="1">
      <alignment horizontal="center" vertical="center"/>
    </xf>
    <xf numFmtId="0" fontId="44" fillId="3" borderId="5" xfId="3" applyFont="1" applyFill="1" applyBorder="1" applyAlignment="1">
      <alignment horizontal="center" vertical="center"/>
    </xf>
    <xf numFmtId="0" fontId="44" fillId="3" borderId="6" xfId="3" applyFont="1" applyFill="1" applyBorder="1" applyAlignment="1">
      <alignment horizontal="center" vertical="center"/>
    </xf>
    <xf numFmtId="0" fontId="44" fillId="13" borderId="5" xfId="3" applyFont="1" applyFill="1" applyBorder="1" applyAlignment="1">
      <alignment horizontal="center" vertical="center"/>
    </xf>
    <xf numFmtId="0" fontId="44" fillId="13" borderId="6" xfId="3" applyFont="1" applyFill="1" applyBorder="1" applyAlignment="1">
      <alignment horizontal="center" vertical="center"/>
    </xf>
    <xf numFmtId="0" fontId="44" fillId="3" borderId="5" xfId="3" applyFont="1" applyFill="1" applyBorder="1" applyAlignment="1">
      <alignment horizontal="left" vertical="center"/>
    </xf>
    <xf numFmtId="0" fontId="44" fillId="3" borderId="6" xfId="3" applyFont="1" applyFill="1" applyBorder="1" applyAlignment="1">
      <alignment horizontal="left" vertical="center"/>
    </xf>
    <xf numFmtId="0" fontId="44" fillId="13" borderId="5" xfId="3" applyFont="1" applyFill="1" applyBorder="1" applyAlignment="1">
      <alignment horizontal="left" vertical="center"/>
    </xf>
    <xf numFmtId="0" fontId="44" fillId="13" borderId="6" xfId="3" applyFont="1" applyFill="1" applyBorder="1" applyAlignment="1">
      <alignment horizontal="left" vertical="center"/>
    </xf>
    <xf numFmtId="0" fontId="28" fillId="3" borderId="5" xfId="3" applyFont="1" applyFill="1" applyBorder="1" applyAlignment="1">
      <alignment horizontal="left" vertical="center"/>
    </xf>
    <xf numFmtId="0" fontId="28" fillId="3" borderId="6" xfId="3" applyFont="1" applyFill="1" applyBorder="1" applyAlignment="1">
      <alignment horizontal="left" vertical="center"/>
    </xf>
    <xf numFmtId="0" fontId="28" fillId="13" borderId="5" xfId="3" applyFont="1" applyFill="1" applyBorder="1" applyAlignment="1">
      <alignment horizontal="left" vertical="center"/>
    </xf>
    <xf numFmtId="0" fontId="28" fillId="13" borderId="6" xfId="3" applyFont="1" applyFill="1" applyBorder="1" applyAlignment="1">
      <alignment horizontal="left" vertical="center"/>
    </xf>
    <xf numFmtId="0" fontId="45" fillId="10" borderId="5" xfId="3" applyFont="1" applyFill="1" applyBorder="1" applyAlignment="1">
      <alignment horizontal="center" vertical="center"/>
    </xf>
    <xf numFmtId="0" fontId="45" fillId="10" borderId="6" xfId="3" applyFont="1" applyFill="1" applyBorder="1" applyAlignment="1">
      <alignment horizontal="center" vertical="center"/>
    </xf>
    <xf numFmtId="0" fontId="47" fillId="14" borderId="5" xfId="3" applyFont="1" applyFill="1" applyBorder="1" applyAlignment="1">
      <alignment horizontal="center" vertical="center"/>
    </xf>
    <xf numFmtId="0" fontId="47" fillId="14" borderId="6" xfId="3" applyFont="1" applyFill="1" applyBorder="1" applyAlignment="1">
      <alignment horizontal="center" vertical="center"/>
    </xf>
    <xf numFmtId="0" fontId="46" fillId="11" borderId="5" xfId="3" applyFont="1" applyFill="1" applyBorder="1" applyAlignment="1">
      <alignment horizontal="center" vertical="center"/>
    </xf>
    <xf numFmtId="0" fontId="46" fillId="11" borderId="6" xfId="3" applyFont="1" applyFill="1" applyBorder="1" applyAlignment="1">
      <alignment horizontal="center" vertical="center"/>
    </xf>
    <xf numFmtId="0" fontId="48" fillId="14" borderId="12" xfId="3" applyFont="1" applyFill="1" applyBorder="1" applyAlignment="1">
      <alignment horizontal="center" vertical="center"/>
    </xf>
    <xf numFmtId="0" fontId="48" fillId="14" borderId="3" xfId="3" applyFont="1" applyFill="1" applyBorder="1" applyAlignment="1">
      <alignment horizontal="center" vertical="center"/>
    </xf>
    <xf numFmtId="0" fontId="19" fillId="0" borderId="5" xfId="3" applyFont="1" applyBorder="1" applyAlignment="1">
      <alignment horizontal="center" vertical="center"/>
    </xf>
    <xf numFmtId="0" fontId="19" fillId="0" borderId="6" xfId="3" applyFont="1" applyBorder="1" applyAlignment="1">
      <alignment horizontal="center" vertical="center"/>
    </xf>
  </cellXfs>
  <cellStyles count="4">
    <cellStyle name="Normal" xfId="0" builtinId="0"/>
    <cellStyle name="Normal 2" xfId="2" xr:uid="{A3C7F6DE-6C21-477E-BE0D-E808AA587E8A}"/>
    <cellStyle name="Normal 3" xfId="3" xr:uid="{C310F37D-4B81-4446-9B00-582D9AF7E837}"/>
    <cellStyle name="Normal 5 2" xfId="1" xr:uid="{35646927-3441-4ACD-9B82-B88F540CE23D}"/>
  </cellStyles>
  <dxfs count="36">
    <dxf>
      <font>
        <b/>
        <color rgb="FF9C0006"/>
      </font>
      <fill>
        <patternFill>
          <bgColor rgb="FFFFC7CE"/>
        </patternFill>
      </fill>
    </dxf>
    <dxf>
      <font>
        <b/>
        <color rgb="FF276221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276221"/>
      </font>
      <fill>
        <patternFill>
          <bgColor rgb="FFC6EFCE"/>
        </patternFill>
      </fill>
    </dxf>
    <dxf>
      <font>
        <color rgb="FF276221"/>
      </font>
    </dxf>
    <dxf>
      <font>
        <color rgb="FF9C0006"/>
      </font>
    </dxf>
    <dxf>
      <font>
        <b/>
        <color rgb="FF9C0006"/>
      </font>
      <fill>
        <patternFill>
          <bgColor rgb="FFFFC7CE"/>
        </patternFill>
      </fill>
    </dxf>
    <dxf>
      <font>
        <b/>
        <color rgb="FF276221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name val="Segoe UI Emoji"/>
        <family val="2"/>
        <scheme val="none"/>
      </font>
    </dxf>
    <dxf>
      <font>
        <strike val="0"/>
        <outline val="0"/>
        <shadow val="0"/>
        <u val="none"/>
        <vertAlign val="baseline"/>
        <name val="Segoe UI Emoji"/>
        <family val="2"/>
        <scheme val="none"/>
      </font>
    </dxf>
    <dxf>
      <font>
        <strike val="0"/>
        <outline val="0"/>
        <shadow val="0"/>
        <u val="none"/>
        <vertAlign val="baseline"/>
        <name val="Segoe UI Emoji"/>
        <family val="2"/>
        <scheme val="none"/>
      </font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Segoe UI Emoji"/>
        <family val="2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 Emoji"/>
        <family val="2"/>
        <scheme val="none"/>
      </font>
      <fill>
        <patternFill patternType="solid">
          <fgColor rgb="FF1F6B5B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name val="Segoe UI Emoj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76221"/>
        <name val="Segoe UI Emoji"/>
        <family val="2"/>
        <scheme val="none"/>
      </font>
      <fill>
        <patternFill patternType="solid">
          <fgColor rgb="FFD6E4F0"/>
          <bgColor rgb="FFC6EFC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Segoe UI Emoji"/>
        <family val="2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name val="Segoe UI Emoji"/>
        <family val="2"/>
        <scheme val="none"/>
      </font>
      <border outline="0">
        <right style="thin">
          <color auto="1"/>
        </right>
      </border>
    </dxf>
    <dxf>
      <font>
        <strike val="0"/>
        <outline val="0"/>
        <shadow val="0"/>
        <u val="none"/>
        <vertAlign val="baseline"/>
        <name val="Segoe UI Emoji"/>
        <family val="2"/>
        <scheme val="none"/>
      </font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Segoe UI Emoji"/>
        <family val="2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 Emoji"/>
        <family val="2"/>
        <scheme val="none"/>
      </font>
      <fill>
        <patternFill patternType="solid">
          <fgColor rgb="FF1F6B5B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name val="Segoe UI Emoj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Segoe UI Emoji"/>
        <family val="2"/>
        <scheme val="none"/>
      </font>
      <fill>
        <patternFill patternType="solid">
          <fgColor rgb="FFFFEB9C"/>
          <bgColor rgb="FFFFC7C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Segoe UI Emoji"/>
        <family val="2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name val="Segoe UI Emoji"/>
        <family val="2"/>
        <scheme val="none"/>
      </font>
      <border outline="0">
        <right style="thin">
          <color auto="1"/>
        </right>
      </border>
    </dxf>
    <dxf>
      <font>
        <strike val="0"/>
        <outline val="0"/>
        <shadow val="0"/>
        <u val="none"/>
        <vertAlign val="baseline"/>
        <name val="Segoe UI Emoji"/>
        <family val="2"/>
        <scheme val="none"/>
      </font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Segoe UI Emoji"/>
        <family val="2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 Emoji"/>
        <family val="2"/>
        <scheme val="none"/>
      </font>
      <fill>
        <patternFill patternType="solid">
          <fgColor rgb="FF1F6B5B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1F6B5B"/>
      <rgbColor rgb="FFC0C0C0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:\Formacao\Excel%20N1\Curso%20Excel%20N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:\WINDOWS\Desktop\Documentos%20da%20Micro\Celia\Pasta%20de%20Exercicios%20da%20C&#233;lia\EXCEL\DIVERS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:\Formacao\Excel\Excel%202\Excel%203&#170;%20seman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:\WINDOWS\Desktop\Documentos%20da%20Micro\Celia\Pasta%20de%20Exercicios%20da%20C&#233;lia\EXCEL\EXERCICIOS%20DAS%20AULAS%20DE%20EXC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 dos Exercicios"/>
      <sheetName val="FolhaSalarialJulho"/>
      <sheetName val="FolhaSalarialAgosto"/>
      <sheetName val="Listas"/>
      <sheetName val="Despesas Mensais"/>
      <sheetName val="Livraria"/>
      <sheetName val="Formatacao numeros"/>
      <sheetName val="Constantes DM"/>
      <sheetName val="Pauta Alunos"/>
      <sheetName val="Tabelas de Verdade"/>
      <sheetName val="Gráficos"/>
      <sheetName val="Nome de Blocos"/>
      <sheetName val="Funco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s dos alunos"/>
      <sheetName val="MÉDIAS"/>
      <sheetName val="TELEMÓVEIS"/>
      <sheetName val="Funcionários"/>
      <sheetName val="lucros - TERMINAR"/>
      <sheetName val="orçamento"/>
      <sheetName val="num dias"/>
      <sheetName val="C_STOCKS"/>
      <sheetName val="NOTAS ( BASE DE DADOS ) (3)"/>
      <sheetName val="EXERCÍCIO DE EXCEL"/>
      <sheetName val="C_Extract2"/>
      <sheetName val="C_Letras"/>
      <sheetName val="NOTAS ( BASE DE DADOS ) (2)"/>
      <sheetName val="index-match"/>
      <sheetName val="NOTAS ( BASE DE DADOS )"/>
      <sheetName val="ANALISE DE VENDAS"/>
      <sheetName val="FUNÇÃO &amp; GRÁFICO"/>
      <sheetName val="RECIBO DOS FUNCIONÁRIOS - 4 pp"/>
      <sheetName val="RECIBO DOS FUNCIONÁRIOS - 2 pp"/>
      <sheetName val="telelés"/>
      <sheetName val="ORCAMENTO-arrumar"/>
      <sheetName val="CONTROLO DE PRODUTOS-arrumar"/>
      <sheetName val="Sheet1 (2)"/>
      <sheetName val="Cursode Informática"/>
      <sheetName val="Folhas de stocks"/>
      <sheetName val="Super mercado preço leve"/>
      <sheetName val="Marcas"/>
      <sheetName val="Controlo de Aéroporto"/>
      <sheetName val="TP-DOIS"/>
      <sheetName val="COMPARAÇÃO DE PREÇOS"/>
      <sheetName val="VARELA E FILHOS, LDA"/>
      <sheetName val="TABELA INDIVIDUAL DE VOOS"/>
      <sheetName val="Ginasio sempre em Forma"/>
      <sheetName val="Multas"/>
      <sheetName val="Livraria dos poetas mortos"/>
      <sheetName val="Factura"/>
      <sheetName val="Folha16"/>
      <sheetName val="Receitas"/>
      <sheetName val="Recursos Humanos"/>
      <sheetName val="Volume de Vendas"/>
      <sheetName val="Contas do Mês"/>
      <sheetName val="Vendas número 1"/>
      <sheetName val="Folha8"/>
      <sheetName val="Folha9"/>
      <sheetName val="Notas Turma"/>
      <sheetName val="Ginásio Sempre em Forma"/>
      <sheetName val="Folha11"/>
      <sheetName val="Folha10"/>
      <sheetName val="Folha7"/>
      <sheetName val="Folha6"/>
      <sheetName val="Folha5"/>
      <sheetName val="Folha2"/>
      <sheetName val="Folha1"/>
      <sheetName val="Stand OS BORLÕES"/>
      <sheetName val="vou aqu- -&gt;Recibos"/>
      <sheetName val="telemoveis"/>
      <sheetName val="Salários dos Funcioná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e Funções"/>
      <sheetName val="Planner"/>
      <sheetName val="Exerc 1"/>
      <sheetName val="Funções Financeiras"/>
      <sheetName val="Funções Proc e Ref"/>
      <sheetName val="R. Proc. e REf."/>
      <sheetName val="BaseFact"/>
      <sheetName val="Exerc 2"/>
      <sheetName val="Revisão pg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rcício 1 - Volvendas"/>
      <sheetName val="Exercício 2 - Notas"/>
      <sheetName val="Exercício Extra1 - Volvendas2"/>
      <sheetName val="Extra 2 - Factura"/>
      <sheetName val="Exercício 3 - Stocks Eurotools"/>
      <sheetName val="Exercício 4 - Receitas-Despesas"/>
      <sheetName val="Exercício 5 - Vendas Eurotools"/>
      <sheetName val="Exercício 6 - Vendas 1994"/>
      <sheetName val="Extra 3 - FOLHA DE VENDAS"/>
      <sheetName val="Extra 4 - Despesas Mensais"/>
      <sheetName val="Exercício 7 - Vendas Hardware"/>
      <sheetName val="Exercício 8 - Recursos Humanos"/>
      <sheetName val="Exercício 9 - FÉRIAS"/>
      <sheetName val="Exercício 10 - Descontos"/>
      <sheetName val="Exercício 11 - CURSOS"/>
      <sheetName val="Exercício 12 - Telefones"/>
      <sheetName val="Exercício 13 - FACTURAÇÃO"/>
      <sheetName val="Exercício 14 - Ordenados"/>
      <sheetName val="Exercício 15 - Ginásio"/>
      <sheetName val="Exercício 16 - EDITORAS"/>
      <sheetName val="Exercício 18 - regiõ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7A2B80-3B22-42FA-BA29-B5A408C015F1}" name="Tabela1" displayName="Tabela1" ref="B10:F14" totalsRowShown="0" headerRowDxfId="35" dataDxfId="33" headerRowBorderDxfId="34" tableBorderDxfId="32" totalsRowBorderDxfId="31">
  <tableColumns count="5">
    <tableColumn id="1" xr3:uid="{3D7CBF6D-5822-4790-B6B0-D4099C72E7D8}" name="Condição 1" dataDxfId="30"/>
    <tableColumn id="2" xr3:uid="{332A6FC1-F08D-4197-B649-149E64ACAF1E}" name="Condição 2" dataDxfId="29"/>
    <tableColumn id="5" xr3:uid="{B51BFBFE-7464-4C0B-AF79-5D580F97BBA2}" name="=" dataDxfId="28"/>
    <tableColumn id="3" xr3:uid="{2BC72D3A-A5E7-4F5C-8F93-2E8863910295}" name="E( ; )" dataDxfId="27"/>
    <tableColumn id="4" xr3:uid="{BA0516B9-A186-4F84-A26C-C59AB89F9862}" name="Explicação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57F47F-8A2F-43A8-8EE3-4027E040E5A2}" name="Tabela2" displayName="Tabela2" ref="H10:L14" totalsRowShown="0" headerRowDxfId="25" dataDxfId="23" headerRowBorderDxfId="24" tableBorderDxfId="22" totalsRowBorderDxfId="21">
  <tableColumns count="5">
    <tableColumn id="1" xr3:uid="{33D02A46-8D4A-4D5B-80DD-C4A298F859FA}" name="Condição 1" dataDxfId="20"/>
    <tableColumn id="2" xr3:uid="{FF451276-18D6-4387-BA82-2B303D1B3F7A}" name="Condição 2" dataDxfId="19"/>
    <tableColumn id="5" xr3:uid="{5657BEDF-2A8D-47B4-9F7B-229543024B87}" name="=" dataDxfId="18"/>
    <tableColumn id="3" xr3:uid="{52794387-B7B4-4031-BF87-160D900ACD12}" name="OU( ; )" dataDxfId="17"/>
    <tableColumn id="4" xr3:uid="{744BCB2B-1159-4CD1-A2DC-536D8E157DFB}" name="Explicação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5A2D67-0F9D-4A3E-8B0F-DADF104E4D00}" name="Tabela3" displayName="Tabela3" ref="N10:P12" totalsRowShown="0" headerRowDxfId="15" dataDxfId="13" headerRowBorderDxfId="14" tableBorderDxfId="12" totalsRowBorderDxfId="11">
  <tableColumns count="3">
    <tableColumn id="1" xr3:uid="{7AC23B2D-E313-4E8F-BDAD-1EB4C960CE7E}" name="Condição" dataDxfId="10"/>
    <tableColumn id="2" xr3:uid="{D3C6B54A-9872-4B3C-975E-3470E6C5F5E4}" name="NÃO( )" dataDxfId="9"/>
    <tableColumn id="3" xr3:uid="{EADB0507-612A-4388-8B4F-4A000843D1D9}" name="Explicação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2"/>
  <sheetViews>
    <sheetView tabSelected="1" topLeftCell="A3" zoomScaleNormal="100" workbookViewId="0">
      <selection activeCell="H16" sqref="H16"/>
    </sheetView>
  </sheetViews>
  <sheetFormatPr defaultColWidth="8.7109375" defaultRowHeight="16.5" x14ac:dyDescent="0.3"/>
  <cols>
    <col min="1" max="1" width="8.7109375" style="1"/>
    <col min="2" max="2" width="23" style="1" customWidth="1"/>
    <col min="3" max="3" width="59.5703125" style="1" bestFit="1" customWidth="1"/>
    <col min="4" max="16384" width="8.7109375" style="1"/>
  </cols>
  <sheetData>
    <row r="2" spans="2:3" ht="26.25" x14ac:dyDescent="0.45">
      <c r="B2" s="125" t="s">
        <v>0</v>
      </c>
    </row>
    <row r="3" spans="2:3" ht="17.25" x14ac:dyDescent="0.3">
      <c r="B3" s="126" t="s">
        <v>1</v>
      </c>
    </row>
    <row r="4" spans="2:3" x14ac:dyDescent="0.3">
      <c r="B4" s="127" t="s">
        <v>2</v>
      </c>
    </row>
    <row r="6" spans="2:3" ht="18" x14ac:dyDescent="0.3">
      <c r="B6" s="128" t="s">
        <v>3</v>
      </c>
    </row>
    <row r="8" spans="2:3" x14ac:dyDescent="0.3">
      <c r="B8" s="68" t="s">
        <v>4</v>
      </c>
      <c r="C8" s="68" t="s">
        <v>5</v>
      </c>
    </row>
    <row r="9" spans="2:3" x14ac:dyDescent="0.3">
      <c r="B9" s="129" t="s">
        <v>6</v>
      </c>
      <c r="C9" s="69" t="s">
        <v>7</v>
      </c>
    </row>
    <row r="10" spans="2:3" x14ac:dyDescent="0.3">
      <c r="B10" s="70" t="s">
        <v>8</v>
      </c>
      <c r="C10" s="69" t="s">
        <v>9</v>
      </c>
    </row>
    <row r="11" spans="2:3" x14ac:dyDescent="0.3">
      <c r="B11" s="129" t="s">
        <v>10</v>
      </c>
      <c r="C11" s="69" t="s">
        <v>11</v>
      </c>
    </row>
    <row r="12" spans="2:3" x14ac:dyDescent="0.3">
      <c r="B12" s="70" t="s">
        <v>12</v>
      </c>
      <c r="C12" s="69" t="s">
        <v>13</v>
      </c>
    </row>
    <row r="14" spans="2:3" ht="18" x14ac:dyDescent="0.3">
      <c r="B14" s="128" t="s">
        <v>14</v>
      </c>
    </row>
    <row r="15" spans="2:3" x14ac:dyDescent="0.3">
      <c r="B15" s="71" t="s">
        <v>15</v>
      </c>
    </row>
    <row r="16" spans="2:3" x14ac:dyDescent="0.3">
      <c r="B16" s="71" t="s">
        <v>16</v>
      </c>
    </row>
    <row r="17" spans="2:2" x14ac:dyDescent="0.3">
      <c r="B17" s="71" t="s">
        <v>17</v>
      </c>
    </row>
    <row r="18" spans="2:2" x14ac:dyDescent="0.3">
      <c r="B18" s="71" t="s">
        <v>18</v>
      </c>
    </row>
    <row r="19" spans="2:2" x14ac:dyDescent="0.3">
      <c r="B19" s="71" t="s">
        <v>19</v>
      </c>
    </row>
    <row r="21" spans="2:2" ht="18" x14ac:dyDescent="0.3">
      <c r="B21" s="128" t="s">
        <v>20</v>
      </c>
    </row>
    <row r="22" spans="2:2" x14ac:dyDescent="0.3">
      <c r="B22" s="71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1CAA2-20D3-4287-9B3B-10630F47E25E}">
  <dimension ref="B2:AJ44"/>
  <sheetViews>
    <sheetView showGridLines="0" topLeftCell="A10" zoomScaleNormal="100" workbookViewId="0">
      <selection activeCell="G28" sqref="G28"/>
    </sheetView>
  </sheetViews>
  <sheetFormatPr defaultColWidth="3.42578125" defaultRowHeight="18" customHeight="1" x14ac:dyDescent="0.3"/>
  <cols>
    <col min="1" max="16384" width="3.42578125" style="106"/>
  </cols>
  <sheetData>
    <row r="2" spans="2:36" ht="18" customHeight="1" x14ac:dyDescent="0.3">
      <c r="AJ2" s="117"/>
    </row>
    <row r="3" spans="2:36" ht="18" customHeight="1" x14ac:dyDescent="0.3">
      <c r="D3" s="106">
        <v>1</v>
      </c>
      <c r="E3" s="106" t="s">
        <v>286</v>
      </c>
      <c r="F3" s="106">
        <v>1</v>
      </c>
      <c r="H3" s="131" t="s">
        <v>524</v>
      </c>
      <c r="I3" s="131"/>
      <c r="K3" s="106" t="s">
        <v>523</v>
      </c>
      <c r="M3" s="131" t="s">
        <v>522</v>
      </c>
      <c r="N3" s="131"/>
      <c r="O3" s="131"/>
    </row>
    <row r="5" spans="2:36" ht="18" customHeight="1" x14ac:dyDescent="0.3">
      <c r="D5" s="106">
        <v>1</v>
      </c>
      <c r="E5" s="106" t="s">
        <v>286</v>
      </c>
      <c r="F5" s="106">
        <v>1</v>
      </c>
      <c r="G5" s="106" t="s">
        <v>164</v>
      </c>
      <c r="H5" s="131">
        <f>1+1</f>
        <v>2</v>
      </c>
      <c r="I5" s="131"/>
      <c r="L5" s="106" t="s">
        <v>164</v>
      </c>
      <c r="M5" s="131">
        <f>D5+F5</f>
        <v>2</v>
      </c>
      <c r="N5" s="131"/>
      <c r="O5" s="131"/>
    </row>
    <row r="6" spans="2:36" ht="18" customHeight="1" x14ac:dyDescent="0.3">
      <c r="T6" s="108"/>
    </row>
    <row r="7" spans="2:36" ht="18" customHeight="1" x14ac:dyDescent="0.3">
      <c r="T7" s="108"/>
    </row>
    <row r="9" spans="2:36" ht="18" customHeight="1" x14ac:dyDescent="0.3">
      <c r="B9" s="124" t="s">
        <v>521</v>
      </c>
      <c r="F9" s="106" t="s">
        <v>520</v>
      </c>
      <c r="H9" s="117" t="s">
        <v>519</v>
      </c>
    </row>
    <row r="11" spans="2:36" ht="18" customHeight="1" x14ac:dyDescent="0.3">
      <c r="B11" s="123" t="s">
        <v>518</v>
      </c>
      <c r="K11" s="111" t="s">
        <v>517</v>
      </c>
    </row>
    <row r="12" spans="2:36" ht="18" customHeight="1" x14ac:dyDescent="0.3">
      <c r="E12" s="132" t="s">
        <v>513</v>
      </c>
      <c r="F12" s="132"/>
      <c r="K12" s="111" t="s">
        <v>516</v>
      </c>
    </row>
    <row r="13" spans="2:36" ht="18" customHeight="1" x14ac:dyDescent="0.3">
      <c r="E13" s="132"/>
      <c r="F13" s="132"/>
    </row>
    <row r="14" spans="2:36" ht="18" customHeight="1" x14ac:dyDescent="0.3">
      <c r="D14" s="106" t="s">
        <v>515</v>
      </c>
      <c r="F14" s="106" t="s">
        <v>514</v>
      </c>
    </row>
    <row r="15" spans="2:36" s="122" customFormat="1" ht="18" customHeight="1" x14ac:dyDescent="0.4">
      <c r="C15" s="121"/>
      <c r="D15" s="130" t="s">
        <v>513</v>
      </c>
      <c r="F15" s="130" t="s">
        <v>513</v>
      </c>
      <c r="G15" s="121"/>
      <c r="H15" s="121"/>
      <c r="I15" s="121"/>
      <c r="J15" s="121"/>
      <c r="K15" s="121"/>
      <c r="L15" s="121"/>
    </row>
    <row r="16" spans="2:36" ht="18" customHeight="1" x14ac:dyDescent="0.4">
      <c r="D16" s="130"/>
      <c r="E16" s="121"/>
      <c r="F16" s="130"/>
    </row>
    <row r="17" spans="2:17" ht="18" customHeight="1" x14ac:dyDescent="0.3">
      <c r="D17" s="106" t="s">
        <v>505</v>
      </c>
      <c r="F17" s="106">
        <v>1</v>
      </c>
    </row>
    <row r="20" spans="2:17" ht="18" customHeight="1" x14ac:dyDescent="0.3">
      <c r="B20" s="119" t="s">
        <v>510</v>
      </c>
      <c r="C20" s="118" t="s">
        <v>512</v>
      </c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8" t="s">
        <v>511</v>
      </c>
    </row>
    <row r="21" spans="2:17" ht="18" customHeight="1" x14ac:dyDescent="0.3">
      <c r="B21" s="119"/>
      <c r="C21" s="120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</row>
    <row r="22" spans="2:17" ht="18" customHeight="1" x14ac:dyDescent="0.3">
      <c r="B22" s="119" t="s">
        <v>510</v>
      </c>
      <c r="C22" s="118" t="s">
        <v>509</v>
      </c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Q22" s="118" t="s">
        <v>508</v>
      </c>
    </row>
    <row r="23" spans="2:17" ht="18" customHeight="1" x14ac:dyDescent="0.3">
      <c r="Q23" s="117" t="s">
        <v>507</v>
      </c>
    </row>
    <row r="26" spans="2:17" ht="18" customHeight="1" x14ac:dyDescent="0.3">
      <c r="C26" s="116" t="s">
        <v>506</v>
      </c>
    </row>
    <row r="27" spans="2:17" ht="18" customHeight="1" x14ac:dyDescent="0.3">
      <c r="C27" s="111"/>
    </row>
    <row r="28" spans="2:17" ht="18" customHeight="1" x14ac:dyDescent="0.3">
      <c r="C28" s="106" t="s">
        <v>164</v>
      </c>
      <c r="E28" s="106" t="s">
        <v>505</v>
      </c>
      <c r="G28" s="106">
        <v>1</v>
      </c>
      <c r="J28" s="106" t="str">
        <f>CONCATENATE(C28,D28,E28,F28,G28)</f>
        <v>=A1</v>
      </c>
    </row>
    <row r="29" spans="2:17" ht="18" customHeight="1" x14ac:dyDescent="0.3">
      <c r="J29" s="106">
        <f>A1</f>
        <v>0</v>
      </c>
    </row>
    <row r="31" spans="2:17" ht="18" customHeight="1" x14ac:dyDescent="0.3">
      <c r="C31" s="115" t="s">
        <v>504</v>
      </c>
      <c r="D31" s="114"/>
      <c r="E31" s="114"/>
      <c r="F31" s="114"/>
      <c r="G31" s="114"/>
    </row>
    <row r="32" spans="2:17" ht="18" customHeight="1" x14ac:dyDescent="0.3">
      <c r="C32" s="108"/>
    </row>
    <row r="33" spans="3:9" ht="18" customHeight="1" x14ac:dyDescent="0.3">
      <c r="C33" s="108" t="s">
        <v>503</v>
      </c>
    </row>
    <row r="34" spans="3:9" ht="18" customHeight="1" x14ac:dyDescent="0.3">
      <c r="C34" s="108" t="s">
        <v>502</v>
      </c>
    </row>
    <row r="35" spans="3:9" ht="18" customHeight="1" x14ac:dyDescent="0.3">
      <c r="C35" s="111"/>
    </row>
    <row r="36" spans="3:9" ht="18" customHeight="1" x14ac:dyDescent="0.3">
      <c r="C36" s="113" t="s">
        <v>501</v>
      </c>
      <c r="D36" s="112"/>
      <c r="E36" s="112"/>
      <c r="F36" s="112"/>
      <c r="G36" s="112"/>
      <c r="H36" s="112"/>
    </row>
    <row r="37" spans="3:9" ht="18" customHeight="1" x14ac:dyDescent="0.3">
      <c r="C37" s="108"/>
    </row>
    <row r="38" spans="3:9" ht="18" customHeight="1" x14ac:dyDescent="0.3">
      <c r="C38" s="108" t="s">
        <v>500</v>
      </c>
    </row>
    <row r="39" spans="3:9" ht="18" customHeight="1" x14ac:dyDescent="0.3">
      <c r="C39" s="108" t="s">
        <v>499</v>
      </c>
    </row>
    <row r="40" spans="3:9" ht="18" customHeight="1" x14ac:dyDescent="0.3">
      <c r="C40" s="111"/>
    </row>
    <row r="41" spans="3:9" ht="18" customHeight="1" x14ac:dyDescent="0.3">
      <c r="C41" s="110" t="s">
        <v>498</v>
      </c>
      <c r="D41" s="109"/>
      <c r="E41" s="109"/>
      <c r="F41" s="109"/>
      <c r="G41" s="109"/>
      <c r="H41" s="109"/>
      <c r="I41" s="109"/>
    </row>
    <row r="42" spans="3:9" ht="18" customHeight="1" x14ac:dyDescent="0.3">
      <c r="C42" s="108"/>
    </row>
    <row r="43" spans="3:9" ht="18" customHeight="1" x14ac:dyDescent="0.3">
      <c r="C43" s="107" t="s">
        <v>497</v>
      </c>
    </row>
    <row r="44" spans="3:9" ht="18" customHeight="1" x14ac:dyDescent="0.3">
      <c r="C44" s="107" t="s">
        <v>496</v>
      </c>
    </row>
  </sheetData>
  <mergeCells count="7">
    <mergeCell ref="D15:D16"/>
    <mergeCell ref="F15:F16"/>
    <mergeCell ref="H3:I3"/>
    <mergeCell ref="M3:O3"/>
    <mergeCell ref="H5:I5"/>
    <mergeCell ref="M5:O5"/>
    <mergeCell ref="E12:F1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40"/>
  <sheetViews>
    <sheetView topLeftCell="A3" zoomScaleNormal="100" workbookViewId="0">
      <selection activeCell="B2" sqref="B2"/>
    </sheetView>
  </sheetViews>
  <sheetFormatPr defaultColWidth="8.7109375" defaultRowHeight="16.5" x14ac:dyDescent="0.25"/>
  <cols>
    <col min="1" max="1" width="3" style="6" customWidth="1"/>
    <col min="2" max="2" width="21.42578125" style="6" customWidth="1"/>
    <col min="3" max="3" width="18.7109375" style="6" bestFit="1" customWidth="1"/>
    <col min="4" max="4" width="35.140625" style="6" bestFit="1" customWidth="1"/>
    <col min="5" max="5" width="12.85546875" style="6" bestFit="1" customWidth="1"/>
    <col min="6" max="6" width="22.85546875" style="6" bestFit="1" customWidth="1"/>
    <col min="7" max="7" width="21.140625" style="6" customWidth="1"/>
    <col min="8" max="8" width="23.42578125" style="6" customWidth="1"/>
    <col min="9" max="9" width="21.140625" style="6" customWidth="1"/>
    <col min="10" max="16384" width="8.7109375" style="6"/>
  </cols>
  <sheetData>
    <row r="2" spans="2:8" ht="23.25" x14ac:dyDescent="0.25">
      <c r="B2" s="5" t="s">
        <v>22</v>
      </c>
      <c r="C2" s="5"/>
      <c r="D2" s="5"/>
      <c r="E2" s="5"/>
      <c r="F2" s="5"/>
      <c r="G2" s="5"/>
    </row>
    <row r="3" spans="2:8" x14ac:dyDescent="0.25">
      <c r="B3" s="25" t="s">
        <v>23</v>
      </c>
      <c r="C3" s="25"/>
      <c r="D3" s="25"/>
      <c r="E3" s="25"/>
      <c r="F3" s="25"/>
      <c r="G3" s="25"/>
      <c r="H3" s="25"/>
    </row>
    <row r="5" spans="2:8" ht="18" x14ac:dyDescent="0.25">
      <c r="B5" s="37" t="s">
        <v>24</v>
      </c>
      <c r="C5" s="7"/>
      <c r="D5" s="7"/>
      <c r="E5" s="29"/>
    </row>
    <row r="6" spans="2:8" x14ac:dyDescent="0.25">
      <c r="B6" s="4" t="s">
        <v>25</v>
      </c>
      <c r="C6" s="133" t="s">
        <v>26</v>
      </c>
      <c r="D6" s="133"/>
      <c r="E6" s="133"/>
      <c r="F6" s="133" t="s">
        <v>27</v>
      </c>
      <c r="G6" s="133"/>
      <c r="H6" s="133"/>
    </row>
    <row r="7" spans="2:8" x14ac:dyDescent="0.25">
      <c r="B7" s="8" t="s">
        <v>28</v>
      </c>
      <c r="C7" s="134" t="s">
        <v>29</v>
      </c>
      <c r="D7" s="134"/>
      <c r="E7" s="134"/>
      <c r="F7" s="134" t="s">
        <v>30</v>
      </c>
      <c r="G7" s="134"/>
      <c r="H7" s="134"/>
    </row>
    <row r="8" spans="2:8" x14ac:dyDescent="0.25">
      <c r="B8" s="18" t="s">
        <v>31</v>
      </c>
      <c r="C8" s="134" t="s">
        <v>32</v>
      </c>
      <c r="D8" s="134"/>
      <c r="E8" s="134"/>
      <c r="F8" s="134" t="s">
        <v>33</v>
      </c>
      <c r="G8" s="134"/>
      <c r="H8" s="134"/>
    </row>
    <row r="10" spans="2:8" ht="18" x14ac:dyDescent="0.25">
      <c r="B10" s="37" t="s">
        <v>34</v>
      </c>
      <c r="C10" s="37"/>
      <c r="D10" s="37"/>
      <c r="E10" s="37"/>
      <c r="F10" s="37"/>
      <c r="G10" s="37"/>
    </row>
    <row r="11" spans="2:8" x14ac:dyDescent="0.25">
      <c r="B11" s="2" t="s">
        <v>35</v>
      </c>
      <c r="C11" s="2" t="s">
        <v>25</v>
      </c>
      <c r="D11" s="2" t="s">
        <v>36</v>
      </c>
      <c r="E11" s="2" t="s">
        <v>37</v>
      </c>
      <c r="F11" s="136" t="s">
        <v>38</v>
      </c>
      <c r="G11" s="136"/>
    </row>
    <row r="12" spans="2:8" x14ac:dyDescent="0.25">
      <c r="B12" s="8" t="s">
        <v>39</v>
      </c>
      <c r="C12" s="10" t="s">
        <v>28</v>
      </c>
      <c r="D12" s="10" t="s">
        <v>40</v>
      </c>
      <c r="E12" s="10" t="s">
        <v>40</v>
      </c>
      <c r="F12" s="134" t="s">
        <v>41</v>
      </c>
      <c r="G12" s="134"/>
    </row>
    <row r="13" spans="2:8" x14ac:dyDescent="0.25">
      <c r="B13" s="11" t="s">
        <v>42</v>
      </c>
      <c r="C13" s="10" t="s">
        <v>43</v>
      </c>
      <c r="D13" s="10" t="s">
        <v>44</v>
      </c>
      <c r="E13" s="10" t="s">
        <v>44</v>
      </c>
      <c r="F13" s="134" t="s">
        <v>45</v>
      </c>
      <c r="G13" s="134"/>
    </row>
    <row r="14" spans="2:8" x14ac:dyDescent="0.25">
      <c r="B14" s="8" t="s">
        <v>46</v>
      </c>
      <c r="C14" s="10" t="s">
        <v>47</v>
      </c>
      <c r="D14" s="10" t="s">
        <v>44</v>
      </c>
      <c r="E14" s="10" t="s">
        <v>40</v>
      </c>
      <c r="F14" s="134" t="s">
        <v>48</v>
      </c>
      <c r="G14" s="134"/>
    </row>
    <row r="15" spans="2:8" x14ac:dyDescent="0.25">
      <c r="B15" s="11" t="s">
        <v>49</v>
      </c>
      <c r="C15" s="10" t="s">
        <v>50</v>
      </c>
      <c r="D15" s="10" t="s">
        <v>40</v>
      </c>
      <c r="E15" s="10" t="s">
        <v>44</v>
      </c>
      <c r="F15" s="134" t="s">
        <v>51</v>
      </c>
      <c r="G15" s="134"/>
    </row>
    <row r="17" spans="2:8" ht="17.25" x14ac:dyDescent="0.25">
      <c r="B17" s="36" t="s">
        <v>52</v>
      </c>
      <c r="C17" s="36"/>
      <c r="D17" s="36"/>
      <c r="E17" s="30"/>
    </row>
    <row r="18" spans="2:8" x14ac:dyDescent="0.25">
      <c r="B18" s="13" t="s">
        <v>53</v>
      </c>
      <c r="C18" s="13" t="s">
        <v>54</v>
      </c>
      <c r="D18" s="19" t="s">
        <v>55</v>
      </c>
      <c r="E18" s="34"/>
      <c r="F18" s="34"/>
    </row>
    <row r="19" spans="2:8" x14ac:dyDescent="0.25">
      <c r="B19" s="38" t="s">
        <v>56</v>
      </c>
      <c r="C19" s="9" t="s">
        <v>57</v>
      </c>
      <c r="D19" s="9" t="s">
        <v>58</v>
      </c>
      <c r="E19" s="33"/>
      <c r="F19" s="33"/>
    </row>
    <row r="20" spans="2:8" x14ac:dyDescent="0.25">
      <c r="B20" s="39" t="s">
        <v>59</v>
      </c>
      <c r="C20" s="9" t="s">
        <v>60</v>
      </c>
      <c r="D20" s="9" t="s">
        <v>61</v>
      </c>
      <c r="E20" s="33"/>
      <c r="F20" s="33"/>
    </row>
    <row r="21" spans="2:8" x14ac:dyDescent="0.25">
      <c r="B21" s="38" t="s">
        <v>62</v>
      </c>
      <c r="C21" s="9" t="s">
        <v>60</v>
      </c>
      <c r="D21" s="9" t="s">
        <v>63</v>
      </c>
      <c r="E21" s="33"/>
      <c r="F21" s="33"/>
    </row>
    <row r="23" spans="2:8" ht="17.25" x14ac:dyDescent="0.25">
      <c r="B23" s="36" t="s">
        <v>64</v>
      </c>
      <c r="C23" s="36"/>
      <c r="D23" s="36"/>
      <c r="E23" s="30"/>
    </row>
    <row r="24" spans="2:8" x14ac:dyDescent="0.25">
      <c r="B24" s="13" t="s">
        <v>53</v>
      </c>
      <c r="C24" s="13" t="s">
        <v>54</v>
      </c>
      <c r="D24" s="19" t="s">
        <v>55</v>
      </c>
      <c r="E24" s="34"/>
      <c r="F24" s="34"/>
    </row>
    <row r="25" spans="2:8" x14ac:dyDescent="0.25">
      <c r="B25" s="38" t="s">
        <v>56</v>
      </c>
      <c r="C25" s="9" t="s">
        <v>65</v>
      </c>
      <c r="D25" s="9" t="s">
        <v>66</v>
      </c>
      <c r="E25" s="33"/>
      <c r="F25" s="33"/>
    </row>
    <row r="26" spans="2:8" x14ac:dyDescent="0.25">
      <c r="B26" s="39" t="s">
        <v>59</v>
      </c>
      <c r="C26" s="9" t="s">
        <v>60</v>
      </c>
      <c r="D26" s="9" t="s">
        <v>67</v>
      </c>
      <c r="E26" s="33"/>
      <c r="F26" s="33"/>
    </row>
    <row r="27" spans="2:8" x14ac:dyDescent="0.25">
      <c r="B27" s="38" t="s">
        <v>62</v>
      </c>
      <c r="C27" s="9" t="s">
        <v>60</v>
      </c>
      <c r="D27" s="9" t="s">
        <v>68</v>
      </c>
      <c r="E27" s="33"/>
      <c r="F27" s="33"/>
    </row>
    <row r="28" spans="2:8" x14ac:dyDescent="0.25">
      <c r="E28" s="31"/>
    </row>
    <row r="29" spans="2:8" x14ac:dyDescent="0.25">
      <c r="B29" s="35" t="s">
        <v>69</v>
      </c>
      <c r="C29" s="35"/>
      <c r="D29" s="35"/>
      <c r="E29" s="35"/>
      <c r="F29" s="35"/>
      <c r="G29" s="35"/>
      <c r="H29" s="35"/>
    </row>
    <row r="30" spans="2:8" x14ac:dyDescent="0.25">
      <c r="E30" s="31"/>
    </row>
    <row r="31" spans="2:8" ht="18" x14ac:dyDescent="0.25">
      <c r="B31" s="41" t="s">
        <v>70</v>
      </c>
      <c r="C31" s="41"/>
      <c r="D31" s="41"/>
      <c r="E31" s="31"/>
    </row>
    <row r="32" spans="2:8" x14ac:dyDescent="0.25">
      <c r="B32" s="135" t="s">
        <v>71</v>
      </c>
      <c r="C32" s="135"/>
      <c r="D32" s="135"/>
      <c r="E32" s="31"/>
      <c r="F32" s="4" t="s">
        <v>75</v>
      </c>
      <c r="G32" s="26">
        <v>0.1</v>
      </c>
    </row>
    <row r="33" spans="2:8" x14ac:dyDescent="0.25">
      <c r="B33" s="13" t="s">
        <v>72</v>
      </c>
      <c r="C33" s="13" t="s">
        <v>73</v>
      </c>
      <c r="D33" s="13" t="s">
        <v>74</v>
      </c>
      <c r="E33" s="31"/>
      <c r="F33" s="23" t="s">
        <v>76</v>
      </c>
      <c r="G33" s="32"/>
    </row>
    <row r="34" spans="2:8" x14ac:dyDescent="0.25">
      <c r="B34" s="27">
        <v>5</v>
      </c>
      <c r="C34" s="28">
        <v>3</v>
      </c>
      <c r="D34" s="28"/>
      <c r="E34" s="31"/>
      <c r="F34" s="23" t="s">
        <v>77</v>
      </c>
      <c r="G34" s="32"/>
    </row>
    <row r="35" spans="2:8" x14ac:dyDescent="0.25">
      <c r="B35" s="18">
        <v>8</v>
      </c>
      <c r="C35" s="28">
        <v>7</v>
      </c>
      <c r="D35" s="28"/>
      <c r="E35" s="31"/>
      <c r="F35" s="23" t="s">
        <v>78</v>
      </c>
      <c r="G35" s="32"/>
    </row>
    <row r="36" spans="2:8" x14ac:dyDescent="0.25">
      <c r="B36" s="27">
        <v>12</v>
      </c>
      <c r="C36" s="28">
        <v>4</v>
      </c>
      <c r="D36" s="28"/>
      <c r="E36" s="31"/>
      <c r="F36" s="23" t="s">
        <v>78</v>
      </c>
      <c r="G36" s="32"/>
    </row>
    <row r="38" spans="2:8" ht="18" x14ac:dyDescent="0.25">
      <c r="B38" s="40" t="s">
        <v>79</v>
      </c>
      <c r="C38" s="40"/>
      <c r="D38" s="40"/>
      <c r="E38" s="40"/>
      <c r="F38" s="40"/>
    </row>
    <row r="39" spans="2:8" ht="16.5" customHeight="1" x14ac:dyDescent="0.25">
      <c r="B39" s="25" t="s">
        <v>80</v>
      </c>
      <c r="C39" s="25"/>
      <c r="D39" s="25"/>
      <c r="E39" s="25"/>
      <c r="F39" s="25"/>
      <c r="G39" s="25"/>
      <c r="H39" s="25"/>
    </row>
    <row r="40" spans="2:8" ht="16.5" customHeight="1" x14ac:dyDescent="0.25">
      <c r="B40" s="25" t="s">
        <v>81</v>
      </c>
      <c r="C40" s="25"/>
      <c r="D40" s="25"/>
      <c r="E40" s="25"/>
      <c r="F40" s="25"/>
      <c r="G40" s="25"/>
      <c r="H40" s="25"/>
    </row>
  </sheetData>
  <mergeCells count="12">
    <mergeCell ref="F15:G15"/>
    <mergeCell ref="B32:D32"/>
    <mergeCell ref="F11:G11"/>
    <mergeCell ref="F12:G12"/>
    <mergeCell ref="F13:G13"/>
    <mergeCell ref="F14:G14"/>
    <mergeCell ref="C6:E6"/>
    <mergeCell ref="C7:E7"/>
    <mergeCell ref="C8:E8"/>
    <mergeCell ref="F8:H8"/>
    <mergeCell ref="F7:H7"/>
    <mergeCell ref="F6:H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49"/>
  <sheetViews>
    <sheetView zoomScaleNormal="100" workbookViewId="0">
      <pane xSplit="1" ySplit="4" topLeftCell="B13" activePane="bottomRight" state="frozen"/>
      <selection pane="topRight" activeCell="B1" sqref="B1"/>
      <selection pane="bottomLeft" activeCell="A4" sqref="A4"/>
      <selection pane="bottomRight" sqref="A1:A1048576"/>
    </sheetView>
  </sheetViews>
  <sheetFormatPr defaultColWidth="8.7109375" defaultRowHeight="16.5" x14ac:dyDescent="0.25"/>
  <cols>
    <col min="1" max="1" width="3" style="6" customWidth="1"/>
    <col min="2" max="2" width="20.140625" style="6" customWidth="1"/>
    <col min="3" max="8" width="13.140625" style="6" customWidth="1"/>
    <col min="9" max="9" width="26.85546875" style="6" bestFit="1" customWidth="1"/>
    <col min="10" max="10" width="10.28515625" style="6" bestFit="1" customWidth="1"/>
    <col min="11" max="16384" width="8.7109375" style="6"/>
  </cols>
  <sheetData>
    <row r="2" spans="2:10" ht="23.25" x14ac:dyDescent="0.25">
      <c r="B2" s="5" t="s">
        <v>82</v>
      </c>
    </row>
    <row r="3" spans="2:10" x14ac:dyDescent="0.25">
      <c r="B3" s="25" t="s">
        <v>83</v>
      </c>
      <c r="C3" s="25"/>
      <c r="D3" s="25"/>
      <c r="E3" s="25"/>
      <c r="F3" s="25"/>
      <c r="G3" s="25"/>
      <c r="H3" s="25"/>
      <c r="I3" s="25"/>
      <c r="J3" s="25"/>
    </row>
    <row r="4" spans="2:10" x14ac:dyDescent="0.25">
      <c r="B4" s="24"/>
      <c r="C4" s="24"/>
      <c r="D4" s="24"/>
      <c r="E4" s="24"/>
      <c r="F4" s="24"/>
      <c r="G4" s="24"/>
      <c r="H4" s="24"/>
    </row>
    <row r="6" spans="2:10" ht="18" x14ac:dyDescent="0.25">
      <c r="B6" s="7" t="s">
        <v>84</v>
      </c>
    </row>
    <row r="7" spans="2:10" x14ac:dyDescent="0.25">
      <c r="B7" s="2" t="s">
        <v>35</v>
      </c>
      <c r="C7" s="2" t="s">
        <v>25</v>
      </c>
      <c r="D7" s="136" t="s">
        <v>85</v>
      </c>
      <c r="E7" s="136"/>
      <c r="F7" s="136"/>
      <c r="G7" s="136" t="s">
        <v>86</v>
      </c>
      <c r="H7" s="136"/>
    </row>
    <row r="8" spans="2:10" x14ac:dyDescent="0.25">
      <c r="B8" s="8" t="s">
        <v>87</v>
      </c>
      <c r="C8" s="9" t="s">
        <v>88</v>
      </c>
      <c r="D8" s="134" t="s">
        <v>89</v>
      </c>
      <c r="E8" s="134"/>
      <c r="F8" s="134"/>
      <c r="G8" s="138" t="s">
        <v>90</v>
      </c>
      <c r="H8" s="138"/>
    </row>
    <row r="9" spans="2:10" x14ac:dyDescent="0.25">
      <c r="B9" s="11" t="s">
        <v>91</v>
      </c>
      <c r="C9" s="9" t="s">
        <v>92</v>
      </c>
      <c r="D9" s="134" t="s">
        <v>93</v>
      </c>
      <c r="E9" s="134"/>
      <c r="F9" s="134"/>
      <c r="G9" s="138" t="s">
        <v>94</v>
      </c>
      <c r="H9" s="138"/>
    </row>
    <row r="10" spans="2:10" x14ac:dyDescent="0.25">
      <c r="B10" s="8" t="s">
        <v>95</v>
      </c>
      <c r="C10" s="9" t="s">
        <v>96</v>
      </c>
      <c r="D10" s="134" t="s">
        <v>97</v>
      </c>
      <c r="E10" s="134"/>
      <c r="F10" s="134"/>
      <c r="G10" s="138" t="s">
        <v>98</v>
      </c>
      <c r="H10" s="138"/>
    </row>
    <row r="11" spans="2:10" x14ac:dyDescent="0.25">
      <c r="B11" s="11" t="s">
        <v>99</v>
      </c>
      <c r="C11" s="9" t="s">
        <v>100</v>
      </c>
      <c r="D11" s="134" t="s">
        <v>101</v>
      </c>
      <c r="E11" s="134"/>
      <c r="F11" s="134"/>
      <c r="G11" s="138" t="s">
        <v>102</v>
      </c>
      <c r="H11" s="138"/>
    </row>
    <row r="12" spans="2:10" x14ac:dyDescent="0.25">
      <c r="B12" s="8" t="s">
        <v>103</v>
      </c>
      <c r="C12" s="9" t="s">
        <v>104</v>
      </c>
      <c r="D12" s="134" t="s">
        <v>105</v>
      </c>
      <c r="E12" s="134"/>
      <c r="F12" s="134"/>
      <c r="G12" s="138" t="s">
        <v>106</v>
      </c>
      <c r="H12" s="138"/>
    </row>
    <row r="13" spans="2:10" x14ac:dyDescent="0.25">
      <c r="B13" s="11" t="s">
        <v>107</v>
      </c>
      <c r="C13" s="9" t="s">
        <v>62</v>
      </c>
      <c r="D13" s="134" t="s">
        <v>108</v>
      </c>
      <c r="E13" s="134"/>
      <c r="F13" s="134"/>
      <c r="G13" s="138" t="s">
        <v>109</v>
      </c>
      <c r="H13" s="138"/>
    </row>
    <row r="15" spans="2:10" ht="18" x14ac:dyDescent="0.25">
      <c r="B15" s="141" t="s">
        <v>110</v>
      </c>
      <c r="C15" s="141"/>
      <c r="D15" s="141"/>
      <c r="E15" s="141"/>
      <c r="F15" s="141"/>
      <c r="G15" s="141"/>
      <c r="H15" s="141"/>
    </row>
    <row r="16" spans="2:10" x14ac:dyDescent="0.25">
      <c r="B16" s="137" t="s">
        <v>111</v>
      </c>
      <c r="C16" s="137"/>
      <c r="D16" s="137"/>
      <c r="E16" s="137"/>
      <c r="F16" s="137"/>
      <c r="G16" s="137"/>
      <c r="H16" s="137"/>
    </row>
    <row r="17" spans="2:8" x14ac:dyDescent="0.25">
      <c r="B17" s="13" t="s">
        <v>25</v>
      </c>
      <c r="C17" s="142" t="s">
        <v>85</v>
      </c>
      <c r="D17" s="142"/>
      <c r="E17" s="142"/>
      <c r="F17" s="142"/>
    </row>
    <row r="18" spans="2:8" x14ac:dyDescent="0.25">
      <c r="B18" s="14" t="s">
        <v>112</v>
      </c>
      <c r="C18" s="134" t="s">
        <v>113</v>
      </c>
      <c r="D18" s="134"/>
      <c r="E18" s="134"/>
      <c r="F18" s="134"/>
    </row>
    <row r="19" spans="2:8" x14ac:dyDescent="0.25">
      <c r="B19" s="11" t="s">
        <v>114</v>
      </c>
      <c r="C19" s="134" t="s">
        <v>115</v>
      </c>
      <c r="D19" s="134"/>
      <c r="E19" s="134"/>
      <c r="F19" s="134"/>
    </row>
    <row r="21" spans="2:8" ht="18" x14ac:dyDescent="0.25">
      <c r="B21" s="141" t="s">
        <v>116</v>
      </c>
      <c r="C21" s="141"/>
      <c r="D21" s="141"/>
      <c r="E21" s="141"/>
      <c r="F21" s="141"/>
      <c r="G21" s="141"/>
      <c r="H21" s="141"/>
    </row>
    <row r="22" spans="2:8" x14ac:dyDescent="0.25">
      <c r="B22" s="4" t="s">
        <v>117</v>
      </c>
      <c r="C22" s="133" t="s">
        <v>118</v>
      </c>
      <c r="D22" s="133"/>
      <c r="E22" s="133"/>
      <c r="F22" s="133"/>
      <c r="G22" s="133"/>
    </row>
    <row r="23" spans="2:8" x14ac:dyDescent="0.25">
      <c r="B23" s="8" t="s">
        <v>119</v>
      </c>
      <c r="C23" s="134" t="s">
        <v>120</v>
      </c>
      <c r="D23" s="134"/>
      <c r="E23" s="134"/>
      <c r="F23" s="134"/>
      <c r="G23" s="134"/>
    </row>
    <row r="24" spans="2:8" x14ac:dyDescent="0.25">
      <c r="B24" s="11" t="s">
        <v>121</v>
      </c>
      <c r="C24" s="134" t="s">
        <v>122</v>
      </c>
      <c r="D24" s="134"/>
      <c r="E24" s="134"/>
      <c r="F24" s="134"/>
      <c r="G24" s="134"/>
    </row>
    <row r="25" spans="2:8" x14ac:dyDescent="0.25">
      <c r="B25" s="8" t="s">
        <v>123</v>
      </c>
      <c r="C25" s="134" t="s">
        <v>124</v>
      </c>
      <c r="D25" s="134"/>
      <c r="E25" s="134"/>
      <c r="F25" s="134"/>
      <c r="G25" s="134"/>
    </row>
    <row r="26" spans="2:8" x14ac:dyDescent="0.25">
      <c r="B26" s="11" t="s">
        <v>99</v>
      </c>
      <c r="C26" s="134" t="s">
        <v>125</v>
      </c>
      <c r="D26" s="134"/>
      <c r="E26" s="134"/>
      <c r="F26" s="134"/>
      <c r="G26" s="134"/>
    </row>
    <row r="27" spans="2:8" x14ac:dyDescent="0.25">
      <c r="B27" s="8" t="s">
        <v>103</v>
      </c>
      <c r="C27" s="134" t="s">
        <v>126</v>
      </c>
      <c r="D27" s="134"/>
      <c r="E27" s="134"/>
      <c r="F27" s="134"/>
      <c r="G27" s="134"/>
    </row>
    <row r="29" spans="2:8" ht="18" x14ac:dyDescent="0.25">
      <c r="B29" s="143" t="s">
        <v>127</v>
      </c>
      <c r="C29" s="143"/>
      <c r="D29" s="143"/>
      <c r="E29" s="143"/>
      <c r="F29" s="143"/>
      <c r="G29" s="143"/>
      <c r="H29" s="143"/>
    </row>
    <row r="30" spans="2:8" x14ac:dyDescent="0.25">
      <c r="B30" s="144" t="s">
        <v>128</v>
      </c>
      <c r="C30" s="144"/>
      <c r="D30" s="144"/>
      <c r="E30" s="144"/>
      <c r="F30" s="144"/>
      <c r="G30" s="144"/>
      <c r="H30" s="144"/>
    </row>
    <row r="31" spans="2:8" x14ac:dyDescent="0.25">
      <c r="B31" s="4" t="s">
        <v>129</v>
      </c>
      <c r="C31" s="4" t="s">
        <v>130</v>
      </c>
      <c r="D31" s="4" t="s">
        <v>131</v>
      </c>
      <c r="E31" s="4" t="s">
        <v>132</v>
      </c>
      <c r="F31" s="4" t="s">
        <v>133</v>
      </c>
    </row>
    <row r="32" spans="2:8" x14ac:dyDescent="0.25">
      <c r="B32" s="15" t="s">
        <v>134</v>
      </c>
      <c r="C32" s="16">
        <v>10</v>
      </c>
      <c r="D32" s="16">
        <v>12</v>
      </c>
      <c r="E32" s="16">
        <v>15</v>
      </c>
      <c r="F32" s="17">
        <f>SUM(C32:E32)</f>
        <v>37</v>
      </c>
    </row>
    <row r="33" spans="2:10" x14ac:dyDescent="0.25">
      <c r="B33" s="18" t="s">
        <v>135</v>
      </c>
      <c r="C33" s="16">
        <v>8</v>
      </c>
      <c r="D33" s="16">
        <v>9</v>
      </c>
      <c r="E33" s="16">
        <v>11</v>
      </c>
      <c r="F33" s="17">
        <f>SUM(C33:E33)</f>
        <v>28</v>
      </c>
    </row>
    <row r="34" spans="2:10" x14ac:dyDescent="0.25">
      <c r="B34" s="15" t="s">
        <v>136</v>
      </c>
      <c r="C34" s="16">
        <v>14</v>
      </c>
      <c r="D34" s="16">
        <v>10</v>
      </c>
      <c r="E34" s="16">
        <v>13</v>
      </c>
      <c r="F34" s="17">
        <f>SUM(C34:E34)</f>
        <v>37</v>
      </c>
    </row>
    <row r="35" spans="2:10" x14ac:dyDescent="0.25">
      <c r="B35" s="18" t="s">
        <v>137</v>
      </c>
      <c r="C35" s="16">
        <v>6</v>
      </c>
      <c r="D35" s="16">
        <v>7</v>
      </c>
      <c r="E35" s="16">
        <v>9</v>
      </c>
      <c r="F35" s="17">
        <f>SUM(C35:E35)</f>
        <v>22</v>
      </c>
    </row>
    <row r="36" spans="2:10" x14ac:dyDescent="0.25">
      <c r="B36" s="19" t="s">
        <v>138</v>
      </c>
      <c r="C36" s="17">
        <f>SUM(C32:C35)</f>
        <v>38</v>
      </c>
      <c r="D36" s="17">
        <f>SUM(D32:D35)</f>
        <v>38</v>
      </c>
      <c r="E36" s="17">
        <f>SUM(E32:E35)</f>
        <v>48</v>
      </c>
      <c r="F36" s="17">
        <f>SUM(F32:F35)</f>
        <v>124</v>
      </c>
    </row>
    <row r="38" spans="2:10" ht="18" x14ac:dyDescent="0.25">
      <c r="B38" s="7" t="s">
        <v>139</v>
      </c>
    </row>
    <row r="39" spans="2:10" x14ac:dyDescent="0.25">
      <c r="B39" s="4" t="s">
        <v>140</v>
      </c>
      <c r="C39" s="20" t="s">
        <v>141</v>
      </c>
      <c r="D39" s="21"/>
      <c r="E39" s="22"/>
      <c r="F39" s="4" t="s">
        <v>142</v>
      </c>
    </row>
    <row r="40" spans="2:10" x14ac:dyDescent="0.25">
      <c r="B40" s="15" t="s">
        <v>143</v>
      </c>
      <c r="C40" s="139" t="s">
        <v>144</v>
      </c>
      <c r="D40" s="139"/>
      <c r="E40" s="139"/>
      <c r="F40" s="17">
        <f>SUM(C32:E32)</f>
        <v>37</v>
      </c>
    </row>
    <row r="41" spans="2:10" x14ac:dyDescent="0.25">
      <c r="B41" s="18" t="s">
        <v>145</v>
      </c>
      <c r="C41" s="139" t="s">
        <v>146</v>
      </c>
      <c r="D41" s="139"/>
      <c r="E41" s="139"/>
      <c r="F41" s="17">
        <f>SUM(C32:C35)</f>
        <v>38</v>
      </c>
    </row>
    <row r="42" spans="2:10" x14ac:dyDescent="0.25">
      <c r="B42" s="15" t="s">
        <v>147</v>
      </c>
      <c r="C42" s="139" t="s">
        <v>148</v>
      </c>
      <c r="D42" s="139"/>
      <c r="E42" s="139"/>
      <c r="F42" s="17">
        <f>SUM(C32:E35)</f>
        <v>124</v>
      </c>
    </row>
    <row r="43" spans="2:10" x14ac:dyDescent="0.25">
      <c r="B43" s="18" t="s">
        <v>149</v>
      </c>
      <c r="C43" s="139" t="s">
        <v>150</v>
      </c>
      <c r="D43" s="139"/>
      <c r="E43" s="139"/>
      <c r="F43" s="17">
        <f>SUM(F32:F35)</f>
        <v>124</v>
      </c>
    </row>
    <row r="45" spans="2:10" ht="18" x14ac:dyDescent="0.25">
      <c r="B45" s="140" t="s">
        <v>79</v>
      </c>
      <c r="C45" s="140"/>
      <c r="D45" s="140"/>
      <c r="E45" s="140"/>
      <c r="F45" s="140"/>
      <c r="G45" s="140"/>
      <c r="I45" s="4" t="s">
        <v>151</v>
      </c>
      <c r="J45" s="4" t="s">
        <v>152</v>
      </c>
    </row>
    <row r="46" spans="2:10" x14ac:dyDescent="0.25">
      <c r="B46" s="137" t="s">
        <v>153</v>
      </c>
      <c r="C46" s="137"/>
      <c r="D46" s="137"/>
      <c r="E46" s="137"/>
      <c r="F46" s="137"/>
      <c r="G46" s="137"/>
      <c r="I46" s="23" t="s">
        <v>154</v>
      </c>
      <c r="J46" s="18"/>
    </row>
    <row r="47" spans="2:10" x14ac:dyDescent="0.25">
      <c r="B47" s="137" t="s">
        <v>155</v>
      </c>
      <c r="C47" s="137"/>
      <c r="D47" s="137"/>
      <c r="E47" s="137"/>
      <c r="F47" s="137"/>
      <c r="G47" s="137"/>
      <c r="I47" s="23" t="s">
        <v>156</v>
      </c>
      <c r="J47" s="18"/>
    </row>
    <row r="48" spans="2:10" x14ac:dyDescent="0.25">
      <c r="B48" s="137"/>
      <c r="C48" s="137"/>
      <c r="D48" s="137"/>
      <c r="E48" s="137"/>
      <c r="F48" s="137"/>
      <c r="G48" s="137"/>
      <c r="I48" s="23" t="s">
        <v>158</v>
      </c>
      <c r="J48" s="18"/>
    </row>
    <row r="49" spans="2:7" x14ac:dyDescent="0.25">
      <c r="B49" s="137" t="s">
        <v>157</v>
      </c>
      <c r="C49" s="137"/>
      <c r="D49" s="137"/>
      <c r="E49" s="137"/>
      <c r="F49" s="137"/>
      <c r="G49" s="137"/>
    </row>
  </sheetData>
  <mergeCells count="36">
    <mergeCell ref="D8:F8"/>
    <mergeCell ref="D9:F9"/>
    <mergeCell ref="D7:F7"/>
    <mergeCell ref="D10:F10"/>
    <mergeCell ref="D13:F13"/>
    <mergeCell ref="C18:F18"/>
    <mergeCell ref="C19:F19"/>
    <mergeCell ref="C17:F17"/>
    <mergeCell ref="B15:H15"/>
    <mergeCell ref="G13:H13"/>
    <mergeCell ref="B16:H16"/>
    <mergeCell ref="B49:G49"/>
    <mergeCell ref="B21:H21"/>
    <mergeCell ref="C22:G22"/>
    <mergeCell ref="C23:G23"/>
    <mergeCell ref="C24:G24"/>
    <mergeCell ref="C25:G25"/>
    <mergeCell ref="C27:G27"/>
    <mergeCell ref="B29:H29"/>
    <mergeCell ref="B30:H30"/>
    <mergeCell ref="B47:G48"/>
    <mergeCell ref="C26:G26"/>
    <mergeCell ref="G7:H7"/>
    <mergeCell ref="G8:H8"/>
    <mergeCell ref="G9:H9"/>
    <mergeCell ref="G10:H10"/>
    <mergeCell ref="G11:H11"/>
    <mergeCell ref="G12:H12"/>
    <mergeCell ref="C40:E40"/>
    <mergeCell ref="C41:E41"/>
    <mergeCell ref="C42:E42"/>
    <mergeCell ref="C43:E43"/>
    <mergeCell ref="B45:G45"/>
    <mergeCell ref="B46:G46"/>
    <mergeCell ref="D11:F11"/>
    <mergeCell ref="D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55"/>
  <sheetViews>
    <sheetView zoomScaleNormal="100" workbookViewId="0">
      <selection sqref="A1:A1048576"/>
    </sheetView>
  </sheetViews>
  <sheetFormatPr defaultColWidth="8.7109375" defaultRowHeight="16.5" x14ac:dyDescent="0.25"/>
  <cols>
    <col min="1" max="1" width="3" style="6" customWidth="1"/>
    <col min="2" max="2" width="11" style="6" customWidth="1"/>
    <col min="3" max="3" width="33.28515625" style="6" customWidth="1"/>
    <col min="4" max="6" width="20.140625" style="6" customWidth="1"/>
    <col min="7" max="16384" width="8.7109375" style="6"/>
  </cols>
  <sheetData>
    <row r="2" spans="2:9" ht="23.25" x14ac:dyDescent="0.25">
      <c r="B2" s="5" t="s">
        <v>360</v>
      </c>
      <c r="C2" s="5"/>
      <c r="D2" s="5"/>
      <c r="E2" s="5"/>
    </row>
    <row r="3" spans="2:9" x14ac:dyDescent="0.25">
      <c r="B3" s="25" t="s">
        <v>361</v>
      </c>
      <c r="C3" s="25"/>
      <c r="D3" s="25"/>
      <c r="E3" s="25"/>
      <c r="F3" s="25"/>
      <c r="G3" s="25"/>
      <c r="H3" s="25"/>
      <c r="I3" s="25"/>
    </row>
    <row r="5" spans="2:9" ht="18" x14ac:dyDescent="0.25">
      <c r="B5" s="155" t="s">
        <v>362</v>
      </c>
      <c r="C5" s="155"/>
      <c r="D5" s="155"/>
      <c r="E5" s="155"/>
    </row>
    <row r="6" spans="2:9" x14ac:dyDescent="0.25">
      <c r="B6" s="4" t="s">
        <v>363</v>
      </c>
      <c r="C6" s="145" t="s">
        <v>364</v>
      </c>
      <c r="D6" s="146"/>
      <c r="E6" s="146"/>
      <c r="F6" s="146"/>
    </row>
    <row r="7" spans="2:9" x14ac:dyDescent="0.25">
      <c r="B7" s="72" t="s">
        <v>365</v>
      </c>
      <c r="C7" s="139" t="s">
        <v>366</v>
      </c>
      <c r="D7" s="139"/>
      <c r="E7" s="139"/>
      <c r="F7" s="139"/>
    </row>
    <row r="8" spans="2:9" x14ac:dyDescent="0.25">
      <c r="B8" s="74" t="s">
        <v>367</v>
      </c>
      <c r="C8" s="139" t="s">
        <v>368</v>
      </c>
      <c r="D8" s="139"/>
      <c r="E8" s="139"/>
      <c r="F8" s="139"/>
    </row>
    <row r="9" spans="2:9" x14ac:dyDescent="0.25">
      <c r="B9" s="72" t="s">
        <v>369</v>
      </c>
      <c r="C9" s="139" t="s">
        <v>370</v>
      </c>
      <c r="D9" s="139"/>
      <c r="E9" s="139"/>
      <c r="F9" s="139"/>
    </row>
    <row r="10" spans="2:9" x14ac:dyDescent="0.25">
      <c r="B10" s="74" t="s">
        <v>371</v>
      </c>
      <c r="C10" s="139" t="s">
        <v>372</v>
      </c>
      <c r="D10" s="139"/>
      <c r="E10" s="139"/>
      <c r="F10" s="139"/>
    </row>
    <row r="11" spans="2:9" x14ac:dyDescent="0.25">
      <c r="B11" s="72" t="s">
        <v>373</v>
      </c>
      <c r="C11" s="139" t="s">
        <v>374</v>
      </c>
      <c r="D11" s="139"/>
      <c r="E11" s="139"/>
      <c r="F11" s="139"/>
    </row>
    <row r="13" spans="2:9" ht="18" x14ac:dyDescent="0.25">
      <c r="B13" s="7" t="s">
        <v>375</v>
      </c>
    </row>
    <row r="14" spans="2:9" x14ac:dyDescent="0.25">
      <c r="B14" s="133" t="s">
        <v>376</v>
      </c>
      <c r="C14" s="133"/>
      <c r="D14" s="133" t="s">
        <v>377</v>
      </c>
      <c r="E14" s="133"/>
      <c r="F14" s="133"/>
    </row>
    <row r="15" spans="2:9" x14ac:dyDescent="0.25">
      <c r="B15" s="153" t="s">
        <v>378</v>
      </c>
      <c r="C15" s="153"/>
      <c r="D15" s="139" t="s">
        <v>379</v>
      </c>
      <c r="E15" s="139"/>
      <c r="F15" s="139"/>
    </row>
    <row r="16" spans="2:9" x14ac:dyDescent="0.25">
      <c r="B16" s="153" t="s">
        <v>380</v>
      </c>
      <c r="C16" s="153"/>
      <c r="D16" s="139" t="s">
        <v>381</v>
      </c>
      <c r="E16" s="139"/>
      <c r="F16" s="139"/>
    </row>
    <row r="17" spans="2:6" x14ac:dyDescent="0.25">
      <c r="B17" s="153" t="s">
        <v>382</v>
      </c>
      <c r="C17" s="153"/>
      <c r="D17" s="139" t="s">
        <v>383</v>
      </c>
      <c r="E17" s="139"/>
      <c r="F17" s="139"/>
    </row>
    <row r="18" spans="2:6" x14ac:dyDescent="0.25">
      <c r="B18" s="152" t="s">
        <v>384</v>
      </c>
      <c r="C18" s="152"/>
      <c r="D18" s="139" t="s">
        <v>385</v>
      </c>
      <c r="E18" s="139"/>
      <c r="F18" s="139"/>
    </row>
    <row r="19" spans="2:6" x14ac:dyDescent="0.25">
      <c r="B19" s="152" t="s">
        <v>386</v>
      </c>
      <c r="C19" s="152"/>
      <c r="D19" s="139" t="s">
        <v>387</v>
      </c>
      <c r="E19" s="139"/>
      <c r="F19" s="139"/>
    </row>
    <row r="21" spans="2:6" ht="18" x14ac:dyDescent="0.25">
      <c r="B21" s="7" t="s">
        <v>388</v>
      </c>
    </row>
    <row r="22" spans="2:6" x14ac:dyDescent="0.25">
      <c r="B22" s="35" t="s">
        <v>389</v>
      </c>
      <c r="C22" s="35"/>
      <c r="D22" s="35"/>
      <c r="E22" s="35"/>
      <c r="F22" s="35"/>
    </row>
    <row r="23" spans="2:6" x14ac:dyDescent="0.25">
      <c r="B23" s="133" t="s">
        <v>129</v>
      </c>
      <c r="C23" s="133"/>
      <c r="D23" s="4" t="s">
        <v>390</v>
      </c>
    </row>
    <row r="24" spans="2:6" x14ac:dyDescent="0.25">
      <c r="B24" s="151" t="s">
        <v>391</v>
      </c>
      <c r="C24" s="151"/>
      <c r="D24" s="76">
        <v>4.5</v>
      </c>
    </row>
    <row r="25" spans="2:6" x14ac:dyDescent="0.25">
      <c r="B25" s="147" t="s">
        <v>392</v>
      </c>
      <c r="C25" s="147"/>
      <c r="D25" s="76">
        <v>1.2</v>
      </c>
    </row>
    <row r="26" spans="2:6" x14ac:dyDescent="0.25">
      <c r="B26" s="151" t="s">
        <v>393</v>
      </c>
      <c r="C26" s="151"/>
      <c r="D26" s="76">
        <v>3.8</v>
      </c>
    </row>
    <row r="27" spans="2:6" x14ac:dyDescent="0.25">
      <c r="B27" s="147" t="s">
        <v>394</v>
      </c>
      <c r="C27" s="147"/>
      <c r="D27" s="76">
        <v>12.5</v>
      </c>
    </row>
    <row r="28" spans="2:6" x14ac:dyDescent="0.25">
      <c r="B28" s="151" t="s">
        <v>395</v>
      </c>
      <c r="C28" s="151"/>
      <c r="D28" s="76">
        <v>24</v>
      </c>
    </row>
    <row r="30" spans="2:6" ht="18" x14ac:dyDescent="0.25">
      <c r="B30" s="7" t="s">
        <v>396</v>
      </c>
    </row>
    <row r="31" spans="2:6" x14ac:dyDescent="0.25">
      <c r="B31" s="133" t="s">
        <v>20</v>
      </c>
      <c r="C31" s="133"/>
      <c r="D31" s="136" t="s">
        <v>397</v>
      </c>
      <c r="E31" s="136" t="s">
        <v>398</v>
      </c>
      <c r="F31" s="133" t="s">
        <v>399</v>
      </c>
    </row>
    <row r="32" spans="2:6" x14ac:dyDescent="0.25">
      <c r="B32" s="133"/>
      <c r="C32" s="133"/>
      <c r="D32" s="136"/>
      <c r="E32" s="136"/>
      <c r="F32" s="133"/>
    </row>
    <row r="33" spans="2:6" x14ac:dyDescent="0.25">
      <c r="B33" s="133"/>
      <c r="C33" s="133"/>
      <c r="D33" s="136"/>
      <c r="E33" s="136"/>
      <c r="F33" s="133"/>
    </row>
    <row r="34" spans="2:6" x14ac:dyDescent="0.25">
      <c r="B34" s="151" t="s">
        <v>400</v>
      </c>
      <c r="C34" s="151"/>
      <c r="D34" s="28" t="s">
        <v>401</v>
      </c>
      <c r="E34" s="28" t="s">
        <v>402</v>
      </c>
      <c r="F34" s="77">
        <f>SUM(D24:D28)</f>
        <v>46</v>
      </c>
    </row>
    <row r="35" spans="2:6" x14ac:dyDescent="0.25">
      <c r="B35" s="147" t="s">
        <v>403</v>
      </c>
      <c r="C35" s="147"/>
      <c r="D35" s="28" t="s">
        <v>404</v>
      </c>
      <c r="E35" s="28" t="s">
        <v>405</v>
      </c>
      <c r="F35" s="77">
        <f>AVERAGE(D24:D28)</f>
        <v>9.1999999999999993</v>
      </c>
    </row>
    <row r="36" spans="2:6" x14ac:dyDescent="0.25">
      <c r="B36" s="151" t="s">
        <v>406</v>
      </c>
      <c r="C36" s="151"/>
      <c r="D36" s="28" t="s">
        <v>407</v>
      </c>
      <c r="E36" s="28" t="s">
        <v>408</v>
      </c>
      <c r="F36" s="77">
        <f>MIN(D24:D28)</f>
        <v>1.2</v>
      </c>
    </row>
    <row r="37" spans="2:6" x14ac:dyDescent="0.25">
      <c r="B37" s="147" t="s">
        <v>409</v>
      </c>
      <c r="C37" s="147"/>
      <c r="D37" s="28" t="s">
        <v>410</v>
      </c>
      <c r="E37" s="28" t="s">
        <v>411</v>
      </c>
      <c r="F37" s="77">
        <f>MAX(D24:D28)</f>
        <v>24</v>
      </c>
    </row>
    <row r="39" spans="2:6" ht="18" x14ac:dyDescent="0.25">
      <c r="B39" s="7" t="s">
        <v>412</v>
      </c>
    </row>
    <row r="40" spans="2:6" x14ac:dyDescent="0.25">
      <c r="B40" s="142" t="s">
        <v>117</v>
      </c>
      <c r="C40" s="142"/>
      <c r="D40" s="142" t="s">
        <v>413</v>
      </c>
      <c r="E40" s="142"/>
      <c r="F40" s="142"/>
    </row>
    <row r="41" spans="2:6" x14ac:dyDescent="0.25">
      <c r="B41" s="148" t="s">
        <v>414</v>
      </c>
      <c r="C41" s="148"/>
      <c r="D41" s="139" t="s">
        <v>415</v>
      </c>
      <c r="E41" s="139"/>
      <c r="F41" s="139"/>
    </row>
    <row r="42" spans="2:6" x14ac:dyDescent="0.25">
      <c r="B42" s="149" t="s">
        <v>416</v>
      </c>
      <c r="C42" s="149"/>
      <c r="D42" s="139" t="s">
        <v>417</v>
      </c>
      <c r="E42" s="139"/>
      <c r="F42" s="139"/>
    </row>
    <row r="43" spans="2:6" x14ac:dyDescent="0.25">
      <c r="B43" s="148" t="s">
        <v>418</v>
      </c>
      <c r="C43" s="148"/>
      <c r="D43" s="139" t="s">
        <v>419</v>
      </c>
      <c r="E43" s="139"/>
      <c r="F43" s="139"/>
    </row>
    <row r="45" spans="2:6" ht="18" x14ac:dyDescent="0.25">
      <c r="B45" s="150" t="s">
        <v>70</v>
      </c>
      <c r="C45" s="150"/>
      <c r="D45" s="150"/>
      <c r="E45" s="150"/>
      <c r="F45" s="150"/>
    </row>
    <row r="46" spans="2:6" x14ac:dyDescent="0.25">
      <c r="B46" s="25" t="s">
        <v>420</v>
      </c>
      <c r="C46" s="25"/>
      <c r="D46" s="25"/>
      <c r="E46" s="25"/>
      <c r="F46" s="78"/>
    </row>
    <row r="47" spans="2:6" x14ac:dyDescent="0.25">
      <c r="B47" s="25" t="s">
        <v>421</v>
      </c>
      <c r="C47" s="25"/>
      <c r="D47" s="25"/>
      <c r="E47" s="25"/>
      <c r="F47" s="78"/>
    </row>
    <row r="48" spans="2:6" x14ac:dyDescent="0.25">
      <c r="B48" s="25" t="s">
        <v>422</v>
      </c>
      <c r="C48" s="25"/>
      <c r="D48" s="25"/>
      <c r="E48" s="25"/>
      <c r="F48" s="78"/>
    </row>
    <row r="49" spans="2:6" x14ac:dyDescent="0.25">
      <c r="B49" s="25" t="s">
        <v>423</v>
      </c>
      <c r="C49" s="25"/>
      <c r="D49" s="25"/>
      <c r="E49" s="25"/>
      <c r="F49" s="78"/>
    </row>
    <row r="50" spans="2:6" x14ac:dyDescent="0.25">
      <c r="B50" s="25" t="s">
        <v>424</v>
      </c>
      <c r="C50" s="25"/>
      <c r="D50" s="25"/>
      <c r="E50" s="25"/>
      <c r="F50" s="78"/>
    </row>
    <row r="51" spans="2:6" x14ac:dyDescent="0.25">
      <c r="B51" s="78"/>
      <c r="C51" s="78"/>
      <c r="D51" s="78"/>
      <c r="E51" s="78"/>
      <c r="F51" s="78"/>
    </row>
    <row r="52" spans="2:6" ht="18" x14ac:dyDescent="0.25">
      <c r="B52" s="154" t="s">
        <v>79</v>
      </c>
      <c r="C52" s="154"/>
      <c r="D52" s="154"/>
      <c r="E52" s="154"/>
      <c r="F52" s="154"/>
    </row>
    <row r="53" spans="2:6" x14ac:dyDescent="0.25">
      <c r="B53" s="25" t="s">
        <v>425</v>
      </c>
      <c r="C53" s="25"/>
      <c r="D53" s="25"/>
      <c r="E53" s="25"/>
      <c r="F53" s="78"/>
    </row>
    <row r="54" spans="2:6" x14ac:dyDescent="0.25">
      <c r="B54" s="25" t="s">
        <v>426</v>
      </c>
      <c r="C54" s="25"/>
      <c r="D54" s="25"/>
      <c r="E54" s="25"/>
      <c r="F54" s="78"/>
    </row>
    <row r="55" spans="2:6" x14ac:dyDescent="0.25">
      <c r="B55" s="25" t="s">
        <v>427</v>
      </c>
      <c r="C55" s="25"/>
      <c r="D55" s="25"/>
      <c r="E55" s="25"/>
      <c r="F55" s="78"/>
    </row>
  </sheetData>
  <mergeCells count="43">
    <mergeCell ref="B17:C17"/>
    <mergeCell ref="B52:F52"/>
    <mergeCell ref="B5:E5"/>
    <mergeCell ref="B45:F45"/>
    <mergeCell ref="D40:F40"/>
    <mergeCell ref="D41:F41"/>
    <mergeCell ref="B27:C27"/>
    <mergeCell ref="B28:C28"/>
    <mergeCell ref="B34:C34"/>
    <mergeCell ref="B35:C35"/>
    <mergeCell ref="B36:C36"/>
    <mergeCell ref="B31:C33"/>
    <mergeCell ref="B37:C37"/>
    <mergeCell ref="B40:C40"/>
    <mergeCell ref="B41:C41"/>
    <mergeCell ref="B42:C42"/>
    <mergeCell ref="B43:C43"/>
    <mergeCell ref="D42:F42"/>
    <mergeCell ref="D43:F43"/>
    <mergeCell ref="D14:F14"/>
    <mergeCell ref="D15:F15"/>
    <mergeCell ref="D16:F16"/>
    <mergeCell ref="D17:F17"/>
    <mergeCell ref="D18:F18"/>
    <mergeCell ref="D19:F19"/>
    <mergeCell ref="D31:D33"/>
    <mergeCell ref="E31:E33"/>
    <mergeCell ref="F31:F33"/>
    <mergeCell ref="C6:F6"/>
    <mergeCell ref="C7:F7"/>
    <mergeCell ref="C8:F8"/>
    <mergeCell ref="C9:F9"/>
    <mergeCell ref="C10:F10"/>
    <mergeCell ref="C11:F11"/>
    <mergeCell ref="B18:C18"/>
    <mergeCell ref="B19:C19"/>
    <mergeCell ref="B23:C23"/>
    <mergeCell ref="B24:C24"/>
    <mergeCell ref="B25:C25"/>
    <mergeCell ref="B26:C26"/>
    <mergeCell ref="B14:C14"/>
    <mergeCell ref="B15:C15"/>
    <mergeCell ref="B16:C16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B4030-664B-429F-8EAB-DCB0CDF18F18}">
  <dimension ref="B2:K65"/>
  <sheetViews>
    <sheetView zoomScaleNormal="100" workbookViewId="0">
      <selection activeCell="E28" sqref="E28:H28"/>
    </sheetView>
  </sheetViews>
  <sheetFormatPr defaultColWidth="8.7109375" defaultRowHeight="16.5" x14ac:dyDescent="0.3"/>
  <cols>
    <col min="1" max="1" width="3" style="42" customWidth="1"/>
    <col min="2" max="2" width="24.5703125" style="42" bestFit="1" customWidth="1"/>
    <col min="3" max="3" width="24.28515625" style="42" bestFit="1" customWidth="1"/>
    <col min="4" max="4" width="2.42578125" style="42" bestFit="1" customWidth="1"/>
    <col min="5" max="6" width="25" style="42" customWidth="1"/>
    <col min="7" max="7" width="2.42578125" style="42" bestFit="1" customWidth="1"/>
    <col min="8" max="8" width="25" style="42" customWidth="1"/>
    <col min="9" max="9" width="13.5703125" style="42" bestFit="1" customWidth="1"/>
    <col min="10" max="10" width="30.5703125" style="42" customWidth="1"/>
    <col min="11" max="11" width="47" style="42" bestFit="1" customWidth="1"/>
    <col min="12" max="16384" width="8.7109375" style="42"/>
  </cols>
  <sheetData>
    <row r="2" spans="2:10" ht="23.25" x14ac:dyDescent="0.3">
      <c r="B2" s="195" t="s">
        <v>159</v>
      </c>
      <c r="C2" s="195"/>
      <c r="D2" s="195"/>
      <c r="E2" s="195"/>
      <c r="F2" s="195"/>
      <c r="G2" s="195"/>
      <c r="H2" s="195"/>
      <c r="I2" s="195"/>
      <c r="J2" s="195"/>
    </row>
    <row r="3" spans="2:10" x14ac:dyDescent="0.3">
      <c r="B3" s="179" t="s">
        <v>160</v>
      </c>
      <c r="C3" s="179"/>
      <c r="D3" s="179"/>
      <c r="E3" s="179"/>
      <c r="F3" s="179"/>
      <c r="G3" s="179"/>
      <c r="H3" s="179"/>
      <c r="I3" s="179"/>
      <c r="J3" s="179"/>
    </row>
    <row r="4" spans="2:10" x14ac:dyDescent="0.3">
      <c r="B4" s="179" t="s">
        <v>161</v>
      </c>
      <c r="C4" s="179"/>
      <c r="D4" s="179"/>
      <c r="E4" s="179"/>
      <c r="F4" s="179"/>
      <c r="G4" s="179"/>
      <c r="H4" s="179"/>
      <c r="I4" s="179"/>
      <c r="J4" s="179"/>
    </row>
    <row r="6" spans="2:10" ht="18" x14ac:dyDescent="0.3">
      <c r="B6" s="60" t="s">
        <v>162</v>
      </c>
      <c r="C6" s="60"/>
      <c r="D6" s="60"/>
      <c r="E6" s="60"/>
      <c r="F6" s="60"/>
      <c r="G6" s="60"/>
      <c r="H6" s="60"/>
    </row>
    <row r="7" spans="2:10" x14ac:dyDescent="0.3">
      <c r="B7" s="59" t="s">
        <v>163</v>
      </c>
      <c r="C7" s="59"/>
      <c r="D7" s="59"/>
      <c r="E7" s="59"/>
      <c r="F7" s="59"/>
      <c r="G7" s="59"/>
      <c r="H7" s="59"/>
    </row>
    <row r="9" spans="2:10" ht="21.75" x14ac:dyDescent="0.3">
      <c r="B9" s="67" t="s">
        <v>164</v>
      </c>
      <c r="C9" s="65" t="s">
        <v>165</v>
      </c>
      <c r="D9" s="67" t="s">
        <v>166</v>
      </c>
      <c r="E9" s="189" t="s">
        <v>167</v>
      </c>
      <c r="F9" s="189"/>
      <c r="G9" s="67" t="s">
        <v>168</v>
      </c>
    </row>
    <row r="11" spans="2:10" x14ac:dyDescent="0.3">
      <c r="B11" s="66" t="s">
        <v>169</v>
      </c>
    </row>
    <row r="12" spans="2:10" ht="17.25" x14ac:dyDescent="0.3">
      <c r="B12" s="65" t="s">
        <v>170</v>
      </c>
      <c r="C12" s="190" t="s">
        <v>171</v>
      </c>
      <c r="D12" s="191"/>
      <c r="E12" s="191"/>
      <c r="F12" s="191"/>
      <c r="G12" s="191"/>
      <c r="H12" s="191"/>
      <c r="I12" s="191"/>
      <c r="J12" s="191"/>
    </row>
    <row r="13" spans="2:10" x14ac:dyDescent="0.3">
      <c r="B13" s="62" t="s">
        <v>172</v>
      </c>
      <c r="C13" s="190" t="s">
        <v>173</v>
      </c>
      <c r="D13" s="191"/>
      <c r="E13" s="191"/>
      <c r="F13" s="191"/>
      <c r="G13" s="191"/>
      <c r="H13" s="191"/>
      <c r="I13" s="191"/>
      <c r="J13" s="191"/>
    </row>
    <row r="15" spans="2:10" ht="18" x14ac:dyDescent="0.3">
      <c r="B15" s="64" t="s">
        <v>174</v>
      </c>
      <c r="C15" s="64"/>
      <c r="D15" s="64"/>
      <c r="E15" s="64"/>
      <c r="F15" s="64"/>
      <c r="G15" s="64"/>
      <c r="H15" s="64"/>
    </row>
    <row r="16" spans="2:10" x14ac:dyDescent="0.3">
      <c r="B16" s="49" t="s">
        <v>175</v>
      </c>
      <c r="C16" s="168" t="s">
        <v>27</v>
      </c>
      <c r="D16" s="169"/>
      <c r="E16" s="192" t="s">
        <v>176</v>
      </c>
      <c r="F16" s="193"/>
      <c r="G16" s="194"/>
      <c r="H16" s="49" t="s">
        <v>177</v>
      </c>
    </row>
    <row r="17" spans="2:11" x14ac:dyDescent="0.3">
      <c r="B17" s="56" t="s">
        <v>178</v>
      </c>
      <c r="C17" s="175" t="s">
        <v>179</v>
      </c>
      <c r="D17" s="176"/>
      <c r="E17" s="167" t="s">
        <v>180</v>
      </c>
      <c r="F17" s="167"/>
      <c r="G17" s="167"/>
      <c r="H17" s="44" t="s">
        <v>44</v>
      </c>
    </row>
    <row r="18" spans="2:11" x14ac:dyDescent="0.3">
      <c r="B18" s="58" t="s">
        <v>181</v>
      </c>
      <c r="C18" s="177">
        <v>100</v>
      </c>
      <c r="D18" s="178"/>
      <c r="E18" s="166" t="s">
        <v>182</v>
      </c>
      <c r="F18" s="166"/>
      <c r="G18" s="166"/>
      <c r="H18" s="62" t="s">
        <v>183</v>
      </c>
    </row>
    <row r="19" spans="2:11" x14ac:dyDescent="0.3">
      <c r="B19" s="56" t="s">
        <v>184</v>
      </c>
      <c r="C19" s="175" t="s">
        <v>185</v>
      </c>
      <c r="D19" s="176"/>
      <c r="E19" s="167" t="s">
        <v>186</v>
      </c>
      <c r="F19" s="167"/>
      <c r="G19" s="167"/>
      <c r="H19" s="62" t="s">
        <v>183</v>
      </c>
    </row>
    <row r="20" spans="2:11" x14ac:dyDescent="0.3">
      <c r="B20" s="58" t="s">
        <v>187</v>
      </c>
      <c r="C20" s="177" t="s">
        <v>188</v>
      </c>
      <c r="D20" s="178"/>
      <c r="E20" s="166" t="s">
        <v>189</v>
      </c>
      <c r="F20" s="166"/>
      <c r="G20" s="166"/>
      <c r="H20" s="62" t="s">
        <v>183</v>
      </c>
    </row>
    <row r="21" spans="2:11" x14ac:dyDescent="0.3">
      <c r="B21" s="56" t="s">
        <v>190</v>
      </c>
      <c r="C21" s="175" t="s">
        <v>170</v>
      </c>
      <c r="D21" s="176"/>
      <c r="E21" s="167" t="s">
        <v>191</v>
      </c>
      <c r="F21" s="167"/>
      <c r="G21" s="167"/>
      <c r="H21" s="63" t="s">
        <v>40</v>
      </c>
    </row>
    <row r="22" spans="2:11" x14ac:dyDescent="0.3">
      <c r="B22" s="58" t="s">
        <v>192</v>
      </c>
      <c r="C22" s="177" t="s">
        <v>193</v>
      </c>
      <c r="D22" s="178"/>
      <c r="E22" s="166" t="s">
        <v>194</v>
      </c>
      <c r="F22" s="166"/>
      <c r="G22" s="166"/>
      <c r="H22" s="62" t="s">
        <v>183</v>
      </c>
    </row>
    <row r="24" spans="2:11" ht="18" x14ac:dyDescent="0.3">
      <c r="B24" s="60" t="s">
        <v>195</v>
      </c>
      <c r="C24" s="60"/>
      <c r="D24" s="60"/>
      <c r="E24" s="60"/>
      <c r="F24" s="60"/>
      <c r="G24" s="60"/>
      <c r="H24" s="60"/>
      <c r="I24" s="60"/>
      <c r="J24" s="60"/>
    </row>
    <row r="25" spans="2:11" x14ac:dyDescent="0.3">
      <c r="B25" s="179" t="s">
        <v>196</v>
      </c>
      <c r="C25" s="179"/>
      <c r="D25" s="179"/>
      <c r="E25" s="179"/>
      <c r="F25" s="179"/>
      <c r="G25" s="179"/>
      <c r="H25" s="179"/>
      <c r="I25" s="179"/>
      <c r="J25" s="179"/>
    </row>
    <row r="26" spans="2:11" x14ac:dyDescent="0.3">
      <c r="B26" s="49" t="s">
        <v>197</v>
      </c>
      <c r="C26" s="174" t="s">
        <v>198</v>
      </c>
      <c r="D26" s="174"/>
      <c r="E26" s="174" t="s">
        <v>199</v>
      </c>
      <c r="F26" s="174"/>
      <c r="G26" s="174"/>
      <c r="H26" s="174"/>
      <c r="I26" s="168" t="s">
        <v>27</v>
      </c>
      <c r="J26" s="169"/>
      <c r="K26" s="61" t="s">
        <v>142</v>
      </c>
    </row>
    <row r="27" spans="2:11" x14ac:dyDescent="0.3">
      <c r="B27" s="47" t="s">
        <v>200</v>
      </c>
      <c r="C27" s="160" t="s">
        <v>201</v>
      </c>
      <c r="D27" s="161"/>
      <c r="E27" s="156" t="s">
        <v>202</v>
      </c>
      <c r="F27" s="156"/>
      <c r="G27" s="156"/>
      <c r="H27" s="156"/>
      <c r="I27" s="182" t="s">
        <v>170</v>
      </c>
      <c r="J27" s="183"/>
      <c r="K27" s="48" t="s">
        <v>203</v>
      </c>
    </row>
    <row r="28" spans="2:11" x14ac:dyDescent="0.3">
      <c r="B28" s="45" t="s">
        <v>204</v>
      </c>
      <c r="C28" s="158" t="s">
        <v>205</v>
      </c>
      <c r="D28" s="159"/>
      <c r="E28" s="157" t="s">
        <v>206</v>
      </c>
      <c r="F28" s="157"/>
      <c r="G28" s="157"/>
      <c r="H28" s="157"/>
      <c r="I28" s="184" t="s">
        <v>207</v>
      </c>
      <c r="J28" s="185"/>
      <c r="K28" s="46" t="s">
        <v>208</v>
      </c>
    </row>
    <row r="29" spans="2:11" x14ac:dyDescent="0.3">
      <c r="B29" s="47" t="s">
        <v>209</v>
      </c>
      <c r="C29" s="160" t="s">
        <v>210</v>
      </c>
      <c r="D29" s="161"/>
      <c r="E29" s="156" t="s">
        <v>211</v>
      </c>
      <c r="F29" s="156"/>
      <c r="G29" s="156"/>
      <c r="H29" s="156"/>
      <c r="I29" s="182" t="s">
        <v>212</v>
      </c>
      <c r="J29" s="183"/>
      <c r="K29" s="48" t="s">
        <v>213</v>
      </c>
    </row>
    <row r="30" spans="2:11" x14ac:dyDescent="0.3">
      <c r="B30" s="45" t="s">
        <v>214</v>
      </c>
      <c r="C30" s="158" t="s">
        <v>215</v>
      </c>
      <c r="D30" s="159"/>
      <c r="E30" s="157" t="s">
        <v>211</v>
      </c>
      <c r="F30" s="157"/>
      <c r="G30" s="157"/>
      <c r="H30" s="157"/>
      <c r="I30" s="184" t="s">
        <v>216</v>
      </c>
      <c r="J30" s="185"/>
      <c r="K30" s="46" t="s">
        <v>217</v>
      </c>
    </row>
    <row r="31" spans="2:11" x14ac:dyDescent="0.3">
      <c r="B31" s="47" t="s">
        <v>218</v>
      </c>
      <c r="C31" s="160" t="s">
        <v>219</v>
      </c>
      <c r="D31" s="161"/>
      <c r="E31" s="156" t="s">
        <v>220</v>
      </c>
      <c r="F31" s="156"/>
      <c r="G31" s="156"/>
      <c r="H31" s="156"/>
      <c r="I31" s="182" t="s">
        <v>221</v>
      </c>
      <c r="J31" s="183"/>
      <c r="K31" s="48" t="s">
        <v>222</v>
      </c>
    </row>
    <row r="32" spans="2:11" x14ac:dyDescent="0.3">
      <c r="B32" s="45" t="s">
        <v>223</v>
      </c>
      <c r="C32" s="158" t="s">
        <v>224</v>
      </c>
      <c r="D32" s="159"/>
      <c r="E32" s="157" t="s">
        <v>225</v>
      </c>
      <c r="F32" s="157"/>
      <c r="G32" s="157"/>
      <c r="H32" s="157"/>
      <c r="I32" s="184" t="s">
        <v>226</v>
      </c>
      <c r="J32" s="185"/>
      <c r="K32" s="46" t="s">
        <v>227</v>
      </c>
    </row>
    <row r="33" spans="2:11" x14ac:dyDescent="0.3">
      <c r="B33" s="47" t="s">
        <v>228</v>
      </c>
      <c r="C33" s="160" t="s">
        <v>428</v>
      </c>
      <c r="D33" s="161"/>
      <c r="E33" s="156" t="s">
        <v>494</v>
      </c>
      <c r="F33" s="156"/>
      <c r="G33" s="156"/>
      <c r="H33" s="156"/>
      <c r="I33" s="182" t="s">
        <v>229</v>
      </c>
      <c r="J33" s="183"/>
      <c r="K33" s="48" t="s">
        <v>230</v>
      </c>
    </row>
    <row r="34" spans="2:11" x14ac:dyDescent="0.3">
      <c r="B34" s="45" t="s">
        <v>231</v>
      </c>
      <c r="C34" s="158" t="s">
        <v>232</v>
      </c>
      <c r="D34" s="159"/>
      <c r="E34" s="157" t="s">
        <v>233</v>
      </c>
      <c r="F34" s="157"/>
      <c r="G34" s="157"/>
      <c r="H34" s="157"/>
      <c r="I34" s="184" t="s">
        <v>234</v>
      </c>
      <c r="J34" s="185"/>
      <c r="K34" s="46" t="s">
        <v>235</v>
      </c>
    </row>
    <row r="35" spans="2:11" x14ac:dyDescent="0.3">
      <c r="B35" s="47" t="s">
        <v>236</v>
      </c>
      <c r="C35" s="160" t="s">
        <v>237</v>
      </c>
      <c r="D35" s="161"/>
      <c r="E35" s="156" t="s">
        <v>495</v>
      </c>
      <c r="F35" s="156"/>
      <c r="G35" s="156"/>
      <c r="H35" s="156"/>
      <c r="I35" s="182" t="s">
        <v>238</v>
      </c>
      <c r="J35" s="183"/>
      <c r="K35" s="48" t="s">
        <v>239</v>
      </c>
    </row>
    <row r="37" spans="2:11" ht="18" x14ac:dyDescent="0.3">
      <c r="B37" s="60" t="s">
        <v>240</v>
      </c>
      <c r="C37" s="60"/>
      <c r="D37" s="60"/>
      <c r="E37" s="60"/>
      <c r="F37" s="60"/>
      <c r="G37" s="60"/>
      <c r="H37" s="60"/>
    </row>
    <row r="38" spans="2:11" x14ac:dyDescent="0.3">
      <c r="B38" s="59" t="s">
        <v>241</v>
      </c>
      <c r="C38" s="59"/>
      <c r="D38" s="59"/>
      <c r="E38" s="59"/>
      <c r="F38" s="59"/>
      <c r="G38" s="43"/>
    </row>
    <row r="39" spans="2:11" x14ac:dyDescent="0.3">
      <c r="B39" s="49" t="s">
        <v>242</v>
      </c>
      <c r="C39" s="168" t="s">
        <v>243</v>
      </c>
      <c r="D39" s="169"/>
      <c r="E39" s="174" t="s">
        <v>244</v>
      </c>
      <c r="F39" s="174"/>
      <c r="G39" s="174"/>
      <c r="H39" s="174"/>
    </row>
    <row r="40" spans="2:11" x14ac:dyDescent="0.3">
      <c r="B40" s="57" t="s">
        <v>245</v>
      </c>
      <c r="C40" s="180" t="s">
        <v>246</v>
      </c>
      <c r="D40" s="181"/>
      <c r="E40" s="167" t="s">
        <v>247</v>
      </c>
      <c r="F40" s="167"/>
      <c r="G40" s="167"/>
      <c r="H40" s="167"/>
    </row>
    <row r="41" spans="2:11" x14ac:dyDescent="0.3">
      <c r="B41" s="57" t="s">
        <v>248</v>
      </c>
      <c r="C41" s="180" t="s">
        <v>249</v>
      </c>
      <c r="D41" s="181"/>
      <c r="E41" s="166" t="s">
        <v>250</v>
      </c>
      <c r="F41" s="166"/>
      <c r="G41" s="166"/>
      <c r="H41" s="166"/>
    </row>
    <row r="42" spans="2:11" x14ac:dyDescent="0.3">
      <c r="B42" s="57" t="s">
        <v>251</v>
      </c>
      <c r="C42" s="180" t="s">
        <v>252</v>
      </c>
      <c r="D42" s="181"/>
      <c r="E42" s="167" t="s">
        <v>253</v>
      </c>
      <c r="F42" s="167"/>
      <c r="G42" s="167"/>
      <c r="H42" s="167"/>
    </row>
    <row r="44" spans="2:11" ht="18" x14ac:dyDescent="0.3">
      <c r="B44" s="187" t="s">
        <v>70</v>
      </c>
      <c r="C44" s="187"/>
      <c r="D44" s="187"/>
      <c r="E44" s="187"/>
      <c r="F44" s="187"/>
    </row>
    <row r="45" spans="2:11" x14ac:dyDescent="0.3">
      <c r="B45" s="186" t="s">
        <v>254</v>
      </c>
      <c r="C45" s="186"/>
      <c r="D45" s="186"/>
      <c r="E45" s="186"/>
      <c r="F45" s="186"/>
    </row>
    <row r="46" spans="2:11" x14ac:dyDescent="0.3">
      <c r="B46" s="49" t="s">
        <v>255</v>
      </c>
      <c r="C46" s="49" t="s">
        <v>256</v>
      </c>
      <c r="D46" s="168" t="s">
        <v>257</v>
      </c>
      <c r="E46" s="169"/>
      <c r="F46" s="49" t="s">
        <v>258</v>
      </c>
      <c r="H46" s="55" t="s">
        <v>259</v>
      </c>
      <c r="I46" s="54" t="s">
        <v>260</v>
      </c>
    </row>
    <row r="47" spans="2:11" x14ac:dyDescent="0.3">
      <c r="B47" s="48" t="s">
        <v>261</v>
      </c>
      <c r="C47" s="52">
        <v>15</v>
      </c>
      <c r="D47" s="170">
        <v>12</v>
      </c>
      <c r="E47" s="171"/>
      <c r="F47" s="52">
        <v>18</v>
      </c>
      <c r="H47" s="51"/>
      <c r="I47" s="50" t="str">
        <f>IF(H47="","—",IF(ABS(H47-AVERAGE(C47:F47))&lt;0.01,"CORRETO","REVER"))</f>
        <v>—</v>
      </c>
    </row>
    <row r="48" spans="2:11" x14ac:dyDescent="0.3">
      <c r="B48" s="46" t="s">
        <v>262</v>
      </c>
      <c r="C48" s="53">
        <v>9</v>
      </c>
      <c r="D48" s="172">
        <v>14</v>
      </c>
      <c r="E48" s="173"/>
      <c r="F48" s="53">
        <v>11</v>
      </c>
      <c r="H48" s="51"/>
      <c r="I48" s="50" t="str">
        <f>IF(H48="","—",IF(ABS(H48-AVERAGE(C48:F48))&lt;0.01,"CORRETO","REVER"))</f>
        <v>—</v>
      </c>
    </row>
    <row r="49" spans="2:9" x14ac:dyDescent="0.3">
      <c r="B49" s="48" t="s">
        <v>263</v>
      </c>
      <c r="C49" s="52">
        <v>17</v>
      </c>
      <c r="D49" s="170">
        <v>16</v>
      </c>
      <c r="E49" s="171"/>
      <c r="F49" s="52">
        <v>19</v>
      </c>
      <c r="H49" s="51"/>
      <c r="I49" s="50" t="str">
        <f>IF(H49="","—",IF(ABS(H49-AVERAGE(C49:F49))&lt;0.01,"CORRETO","REVER"))</f>
        <v>—</v>
      </c>
    </row>
    <row r="50" spans="2:9" x14ac:dyDescent="0.3">
      <c r="B50" s="46" t="s">
        <v>264</v>
      </c>
      <c r="C50" s="53">
        <v>8</v>
      </c>
      <c r="D50" s="172">
        <v>10</v>
      </c>
      <c r="E50" s="173"/>
      <c r="F50" s="53">
        <v>7</v>
      </c>
      <c r="H50" s="51"/>
      <c r="I50" s="50" t="str">
        <f>IF(H50="","—",IF(ABS(H50-AVERAGE(C50:F50))&lt;0.01,"CORRETO","REVER"))</f>
        <v>—</v>
      </c>
    </row>
    <row r="51" spans="2:9" x14ac:dyDescent="0.3">
      <c r="B51" s="48" t="s">
        <v>265</v>
      </c>
      <c r="C51" s="52">
        <v>13</v>
      </c>
      <c r="D51" s="170">
        <v>15</v>
      </c>
      <c r="E51" s="171"/>
      <c r="F51" s="52">
        <v>14</v>
      </c>
      <c r="H51" s="51"/>
      <c r="I51" s="50" t="str">
        <f>IF(H51="","—",IF(ABS(H51-AVERAGE(C51:F51))&lt;0.01,"CORRETO","REVER"))</f>
        <v>—</v>
      </c>
    </row>
    <row r="53" spans="2:9" x14ac:dyDescent="0.3">
      <c r="B53" s="49" t="s">
        <v>197</v>
      </c>
      <c r="C53" s="49" t="s">
        <v>266</v>
      </c>
      <c r="D53" s="168" t="s">
        <v>267</v>
      </c>
      <c r="E53" s="169"/>
      <c r="F53" s="49" t="s">
        <v>142</v>
      </c>
    </row>
    <row r="54" spans="2:9" x14ac:dyDescent="0.3">
      <c r="B54" s="48" t="s">
        <v>268</v>
      </c>
      <c r="C54" s="47">
        <f>SUM(C47:F51)</f>
        <v>198</v>
      </c>
      <c r="D54" s="162" t="s">
        <v>269</v>
      </c>
      <c r="E54" s="163"/>
      <c r="F54" s="44">
        <f>SUM(C47:F51)</f>
        <v>198</v>
      </c>
    </row>
    <row r="55" spans="2:9" x14ac:dyDescent="0.3">
      <c r="B55" s="46" t="s">
        <v>270</v>
      </c>
      <c r="C55" s="45">
        <f>AVERAGE(C47:F51)</f>
        <v>13.2</v>
      </c>
      <c r="D55" s="164" t="s">
        <v>269</v>
      </c>
      <c r="E55" s="165"/>
      <c r="F55" s="44">
        <f>AVERAGE(C47:F51)</f>
        <v>13.2</v>
      </c>
    </row>
    <row r="56" spans="2:9" x14ac:dyDescent="0.3">
      <c r="B56" s="48" t="s">
        <v>271</v>
      </c>
      <c r="C56" s="47">
        <f>MIN(C47:F51)</f>
        <v>7</v>
      </c>
      <c r="D56" s="162" t="s">
        <v>269</v>
      </c>
      <c r="E56" s="163"/>
      <c r="F56" s="44">
        <f>MIN(C47:F51)</f>
        <v>7</v>
      </c>
    </row>
    <row r="57" spans="2:9" x14ac:dyDescent="0.3">
      <c r="B57" s="46" t="s">
        <v>272</v>
      </c>
      <c r="C57" s="45">
        <f>MAX(C47:F51)</f>
        <v>19</v>
      </c>
      <c r="D57" s="164" t="s">
        <v>269</v>
      </c>
      <c r="E57" s="165"/>
      <c r="F57" s="44">
        <f>MAX(C47:F51)</f>
        <v>19</v>
      </c>
    </row>
    <row r="58" spans="2:9" x14ac:dyDescent="0.3">
      <c r="B58" s="48" t="s">
        <v>273</v>
      </c>
      <c r="C58" s="47">
        <f>COUNTIF(C47:F51,"&gt;="&amp;10)</f>
        <v>12</v>
      </c>
      <c r="D58" s="162" t="s">
        <v>274</v>
      </c>
      <c r="E58" s="163"/>
      <c r="F58" s="44">
        <f>COUNTIF(C47:F51,"&gt;="&amp;10)</f>
        <v>12</v>
      </c>
    </row>
    <row r="59" spans="2:9" x14ac:dyDescent="0.3">
      <c r="B59" s="46" t="s">
        <v>275</v>
      </c>
      <c r="C59" s="45">
        <f>COUNTA(B47:B51)</f>
        <v>5</v>
      </c>
      <c r="D59" s="164" t="s">
        <v>276</v>
      </c>
      <c r="E59" s="165"/>
      <c r="F59" s="44">
        <f>COUNTA(B47:B51)</f>
        <v>5</v>
      </c>
    </row>
    <row r="61" spans="2:9" ht="18" x14ac:dyDescent="0.3">
      <c r="B61" s="188" t="s">
        <v>79</v>
      </c>
      <c r="C61" s="188"/>
      <c r="D61" s="188"/>
      <c r="E61" s="188"/>
      <c r="F61" s="188"/>
    </row>
    <row r="62" spans="2:9" x14ac:dyDescent="0.3">
      <c r="B62" s="179" t="s">
        <v>277</v>
      </c>
      <c r="C62" s="179"/>
      <c r="D62" s="179"/>
      <c r="E62" s="179"/>
      <c r="F62" s="179"/>
    </row>
    <row r="63" spans="2:9" x14ac:dyDescent="0.3">
      <c r="B63" s="179" t="s">
        <v>278</v>
      </c>
      <c r="C63" s="179"/>
      <c r="D63" s="179"/>
      <c r="E63" s="179"/>
      <c r="F63" s="179"/>
      <c r="G63" s="43"/>
    </row>
    <row r="64" spans="2:9" x14ac:dyDescent="0.3">
      <c r="B64" s="179" t="s">
        <v>279</v>
      </c>
      <c r="C64" s="179"/>
      <c r="D64" s="179"/>
      <c r="E64" s="179"/>
      <c r="F64" s="179"/>
      <c r="G64" s="43"/>
    </row>
    <row r="65" spans="2:7" x14ac:dyDescent="0.3">
      <c r="B65" s="179" t="s">
        <v>280</v>
      </c>
      <c r="C65" s="179"/>
      <c r="D65" s="179"/>
      <c r="E65" s="179"/>
      <c r="F65" s="179"/>
      <c r="G65" s="43"/>
    </row>
  </sheetData>
  <mergeCells count="79">
    <mergeCell ref="B2:J2"/>
    <mergeCell ref="B3:J3"/>
    <mergeCell ref="B4:J4"/>
    <mergeCell ref="C12:J12"/>
    <mergeCell ref="C16:D16"/>
    <mergeCell ref="D59:E59"/>
    <mergeCell ref="E9:F9"/>
    <mergeCell ref="C13:J13"/>
    <mergeCell ref="E16:G16"/>
    <mergeCell ref="E17:G17"/>
    <mergeCell ref="E18:G18"/>
    <mergeCell ref="B61:F61"/>
    <mergeCell ref="B62:F62"/>
    <mergeCell ref="B63:F63"/>
    <mergeCell ref="B64:F64"/>
    <mergeCell ref="B65:F65"/>
    <mergeCell ref="I30:J30"/>
    <mergeCell ref="E26:H26"/>
    <mergeCell ref="E19:G19"/>
    <mergeCell ref="E20:G20"/>
    <mergeCell ref="E21:G21"/>
    <mergeCell ref="E22:G22"/>
    <mergeCell ref="E27:H27"/>
    <mergeCell ref="I26:J26"/>
    <mergeCell ref="I27:J27"/>
    <mergeCell ref="I28:J28"/>
    <mergeCell ref="I29:J29"/>
    <mergeCell ref="C22:D22"/>
    <mergeCell ref="C35:D35"/>
    <mergeCell ref="B25:J25"/>
    <mergeCell ref="C40:D40"/>
    <mergeCell ref="C39:D39"/>
    <mergeCell ref="C26:D26"/>
    <mergeCell ref="I31:J31"/>
    <mergeCell ref="I32:J32"/>
    <mergeCell ref="I33:J33"/>
    <mergeCell ref="I34:J34"/>
    <mergeCell ref="I35:J35"/>
    <mergeCell ref="C27:D27"/>
    <mergeCell ref="C28:D28"/>
    <mergeCell ref="C29:D29"/>
    <mergeCell ref="C30:D30"/>
    <mergeCell ref="C31:D31"/>
    <mergeCell ref="C17:D17"/>
    <mergeCell ref="C18:D18"/>
    <mergeCell ref="C19:D19"/>
    <mergeCell ref="C20:D20"/>
    <mergeCell ref="C21:D21"/>
    <mergeCell ref="D58:E58"/>
    <mergeCell ref="E41:H41"/>
    <mergeCell ref="E40:H40"/>
    <mergeCell ref="E42:H42"/>
    <mergeCell ref="E34:H34"/>
    <mergeCell ref="D46:E46"/>
    <mergeCell ref="D47:E47"/>
    <mergeCell ref="D48:E48"/>
    <mergeCell ref="D49:E49"/>
    <mergeCell ref="D50:E50"/>
    <mergeCell ref="E39:H39"/>
    <mergeCell ref="B45:F45"/>
    <mergeCell ref="B44:F44"/>
    <mergeCell ref="C41:D41"/>
    <mergeCell ref="C42:D42"/>
    <mergeCell ref="D51:E51"/>
    <mergeCell ref="C32:D32"/>
    <mergeCell ref="C33:D33"/>
    <mergeCell ref="C34:D34"/>
    <mergeCell ref="D56:E56"/>
    <mergeCell ref="D57:E57"/>
    <mergeCell ref="D53:E53"/>
    <mergeCell ref="D54:E54"/>
    <mergeCell ref="D55:E55"/>
    <mergeCell ref="E35:H35"/>
    <mergeCell ref="E28:H28"/>
    <mergeCell ref="E29:H29"/>
    <mergeCell ref="E30:H30"/>
    <mergeCell ref="E31:H31"/>
    <mergeCell ref="E32:H32"/>
    <mergeCell ref="E33:H33"/>
  </mergeCells>
  <conditionalFormatting sqref="I47:I51">
    <cfRule type="expression" dxfId="7" priority="1">
      <formula>$I47="CORRETO"</formula>
    </cfRule>
    <cfRule type="expression" dxfId="6" priority="2">
      <formula>$I47="REVER"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O43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1048576"/>
    </sheetView>
  </sheetViews>
  <sheetFormatPr defaultColWidth="8.7109375" defaultRowHeight="16.5" x14ac:dyDescent="0.25"/>
  <cols>
    <col min="1" max="1" width="3" style="6" customWidth="1"/>
    <col min="2" max="2" width="15.140625" style="6" customWidth="1"/>
    <col min="3" max="12" width="15.85546875" style="6" customWidth="1"/>
    <col min="13" max="13" width="25" style="6" bestFit="1" customWidth="1"/>
    <col min="14" max="14" width="40.7109375" style="6" bestFit="1" customWidth="1"/>
    <col min="15" max="16384" width="8.7109375" style="6"/>
  </cols>
  <sheetData>
    <row r="2" spans="2:15" ht="23.25" x14ac:dyDescent="0.25">
      <c r="B2" s="197" t="s">
        <v>281</v>
      </c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</row>
    <row r="3" spans="2:15" x14ac:dyDescent="0.25">
      <c r="B3" s="198" t="s">
        <v>282</v>
      </c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</row>
    <row r="5" spans="2:15" ht="18" x14ac:dyDescent="0.25">
      <c r="B5" s="7" t="s">
        <v>283</v>
      </c>
      <c r="C5" s="7"/>
      <c r="D5" s="7"/>
      <c r="E5" s="7"/>
      <c r="G5" s="7" t="s">
        <v>304</v>
      </c>
      <c r="H5" s="7"/>
      <c r="I5" s="7"/>
      <c r="J5" s="7"/>
      <c r="L5" s="7" t="s">
        <v>325</v>
      </c>
      <c r="M5" s="7"/>
      <c r="N5" s="7"/>
    </row>
    <row r="6" spans="2:15" ht="18" x14ac:dyDescent="0.25">
      <c r="B6" s="12"/>
      <c r="C6" s="12"/>
      <c r="D6" s="12"/>
      <c r="E6" s="12"/>
      <c r="G6" s="137" t="s">
        <v>305</v>
      </c>
      <c r="H6" s="137"/>
      <c r="I6" s="137"/>
      <c r="J6" s="137"/>
      <c r="L6" s="29"/>
      <c r="M6" s="29"/>
      <c r="N6" s="29"/>
    </row>
    <row r="7" spans="2:15" x14ac:dyDescent="0.25">
      <c r="G7" s="196"/>
      <c r="H7" s="196"/>
      <c r="I7" s="196"/>
      <c r="J7" s="196"/>
    </row>
    <row r="8" spans="2:15" x14ac:dyDescent="0.25">
      <c r="B8" s="4" t="s">
        <v>284</v>
      </c>
      <c r="C8" s="4" t="s">
        <v>285</v>
      </c>
      <c r="D8" s="4" t="s">
        <v>27</v>
      </c>
      <c r="E8" s="4" t="s">
        <v>142</v>
      </c>
      <c r="G8" s="4" t="s">
        <v>284</v>
      </c>
      <c r="H8" s="4" t="s">
        <v>26</v>
      </c>
      <c r="I8" s="4" t="s">
        <v>27</v>
      </c>
      <c r="J8" s="4" t="s">
        <v>142</v>
      </c>
      <c r="L8" s="4" t="s">
        <v>284</v>
      </c>
      <c r="M8" s="4" t="s">
        <v>285</v>
      </c>
      <c r="N8" s="4" t="s">
        <v>27</v>
      </c>
    </row>
    <row r="9" spans="2:15" x14ac:dyDescent="0.25">
      <c r="B9" s="72" t="s">
        <v>286</v>
      </c>
      <c r="C9" s="28" t="s">
        <v>287</v>
      </c>
      <c r="D9" s="73" t="s">
        <v>288</v>
      </c>
      <c r="E9" s="28">
        <v>15</v>
      </c>
      <c r="G9" s="15" t="s">
        <v>164</v>
      </c>
      <c r="H9" s="28" t="s">
        <v>306</v>
      </c>
      <c r="I9" s="28" t="s">
        <v>307</v>
      </c>
      <c r="J9" s="28" t="s">
        <v>308</v>
      </c>
      <c r="L9" s="8" t="s">
        <v>326</v>
      </c>
      <c r="M9" s="8" t="s">
        <v>327</v>
      </c>
      <c r="N9" s="15" t="s">
        <v>328</v>
      </c>
    </row>
    <row r="10" spans="2:15" x14ac:dyDescent="0.25">
      <c r="B10" s="74" t="s">
        <v>289</v>
      </c>
      <c r="C10" s="28" t="s">
        <v>290</v>
      </c>
      <c r="D10" s="73" t="s">
        <v>291</v>
      </c>
      <c r="E10" s="28">
        <v>5</v>
      </c>
      <c r="G10" s="18" t="s">
        <v>309</v>
      </c>
      <c r="H10" s="28" t="s">
        <v>310</v>
      </c>
      <c r="I10" s="28" t="s">
        <v>311</v>
      </c>
      <c r="J10" s="28" t="s">
        <v>312</v>
      </c>
    </row>
    <row r="11" spans="2:15" x14ac:dyDescent="0.25">
      <c r="B11" s="72" t="s">
        <v>292</v>
      </c>
      <c r="C11" s="28" t="s">
        <v>293</v>
      </c>
      <c r="D11" s="73" t="s">
        <v>294</v>
      </c>
      <c r="E11" s="28">
        <v>50</v>
      </c>
      <c r="G11" s="15" t="s">
        <v>313</v>
      </c>
      <c r="H11" s="28" t="s">
        <v>314</v>
      </c>
      <c r="I11" s="28" t="s">
        <v>315</v>
      </c>
      <c r="J11" s="28" t="s">
        <v>308</v>
      </c>
    </row>
    <row r="12" spans="2:15" x14ac:dyDescent="0.25">
      <c r="B12" s="74" t="s">
        <v>295</v>
      </c>
      <c r="C12" s="28" t="s">
        <v>296</v>
      </c>
      <c r="D12" s="73" t="s">
        <v>297</v>
      </c>
      <c r="E12" s="28">
        <v>2</v>
      </c>
      <c r="G12" s="18" t="s">
        <v>316</v>
      </c>
      <c r="H12" s="28" t="s">
        <v>317</v>
      </c>
      <c r="I12" s="28" t="s">
        <v>318</v>
      </c>
      <c r="J12" s="28" t="s">
        <v>312</v>
      </c>
    </row>
    <row r="13" spans="2:15" x14ac:dyDescent="0.25">
      <c r="B13" s="72" t="s">
        <v>298</v>
      </c>
      <c r="C13" s="28" t="s">
        <v>299</v>
      </c>
      <c r="D13" s="73" t="s">
        <v>300</v>
      </c>
      <c r="E13" s="28">
        <v>256</v>
      </c>
      <c r="G13" s="15" t="s">
        <v>319</v>
      </c>
      <c r="H13" s="28" t="s">
        <v>320</v>
      </c>
      <c r="I13" s="28" t="s">
        <v>321</v>
      </c>
      <c r="J13" s="28" t="s">
        <v>312</v>
      </c>
    </row>
    <row r="14" spans="2:15" x14ac:dyDescent="0.25">
      <c r="B14" s="74" t="s">
        <v>301</v>
      </c>
      <c r="C14" s="28" t="s">
        <v>302</v>
      </c>
      <c r="D14" s="73" t="s">
        <v>303</v>
      </c>
      <c r="E14" s="28">
        <v>20</v>
      </c>
      <c r="G14" s="18" t="s">
        <v>322</v>
      </c>
      <c r="H14" s="28" t="s">
        <v>323</v>
      </c>
      <c r="I14" s="28" t="s">
        <v>324</v>
      </c>
      <c r="J14" s="28" t="s">
        <v>312</v>
      </c>
    </row>
    <row r="16" spans="2:15" ht="18" x14ac:dyDescent="0.25">
      <c r="B16" s="7" t="s">
        <v>329</v>
      </c>
      <c r="C16" s="7"/>
      <c r="D16" s="7"/>
      <c r="E16" s="7"/>
      <c r="F16" s="7"/>
      <c r="G16" s="7"/>
      <c r="H16" s="7"/>
    </row>
    <row r="17" spans="2:8" x14ac:dyDescent="0.25">
      <c r="B17" s="13" t="s">
        <v>330</v>
      </c>
      <c r="C17" s="142" t="s">
        <v>285</v>
      </c>
      <c r="D17" s="142"/>
    </row>
    <row r="18" spans="2:8" x14ac:dyDescent="0.25">
      <c r="B18" s="27" t="s">
        <v>331</v>
      </c>
      <c r="C18" s="139" t="s">
        <v>332</v>
      </c>
      <c r="D18" s="139"/>
    </row>
    <row r="19" spans="2:8" x14ac:dyDescent="0.25">
      <c r="B19" s="18" t="s">
        <v>333</v>
      </c>
      <c r="C19" s="139" t="s">
        <v>334</v>
      </c>
      <c r="D19" s="139"/>
    </row>
    <row r="20" spans="2:8" x14ac:dyDescent="0.25">
      <c r="B20" s="27" t="s">
        <v>335</v>
      </c>
      <c r="C20" s="139" t="s">
        <v>336</v>
      </c>
      <c r="D20" s="139"/>
    </row>
    <row r="21" spans="2:8" x14ac:dyDescent="0.25">
      <c r="B21" s="18" t="s">
        <v>337</v>
      </c>
      <c r="C21" s="139" t="s">
        <v>338</v>
      </c>
      <c r="D21" s="139"/>
    </row>
    <row r="23" spans="2:8" ht="17.25" x14ac:dyDescent="0.25">
      <c r="B23" s="36" t="s">
        <v>339</v>
      </c>
      <c r="C23" s="36"/>
      <c r="D23" s="75"/>
    </row>
    <row r="24" spans="2:8" x14ac:dyDescent="0.25">
      <c r="B24" s="13" t="s">
        <v>340</v>
      </c>
      <c r="C24" s="13" t="s">
        <v>142</v>
      </c>
      <c r="D24" s="142" t="s">
        <v>176</v>
      </c>
      <c r="E24" s="142"/>
      <c r="F24" s="142"/>
    </row>
    <row r="25" spans="2:8" x14ac:dyDescent="0.25">
      <c r="B25" s="38" t="s">
        <v>341</v>
      </c>
      <c r="C25" s="9">
        <v>14</v>
      </c>
      <c r="D25" s="28" t="s">
        <v>342</v>
      </c>
      <c r="E25" s="28"/>
      <c r="F25" s="28"/>
    </row>
    <row r="26" spans="2:8" x14ac:dyDescent="0.25">
      <c r="B26" s="39" t="s">
        <v>343</v>
      </c>
      <c r="C26" s="9">
        <v>20</v>
      </c>
      <c r="D26" s="28" t="s">
        <v>344</v>
      </c>
      <c r="E26" s="28"/>
      <c r="F26" s="28"/>
    </row>
    <row r="27" spans="2:8" x14ac:dyDescent="0.25">
      <c r="B27" s="38" t="s">
        <v>345</v>
      </c>
      <c r="C27" s="9">
        <v>8</v>
      </c>
      <c r="D27" s="28" t="s">
        <v>346</v>
      </c>
      <c r="E27" s="28"/>
      <c r="F27" s="28"/>
    </row>
    <row r="28" spans="2:8" x14ac:dyDescent="0.25">
      <c r="B28" s="39" t="s">
        <v>347</v>
      </c>
      <c r="C28" s="9">
        <v>2</v>
      </c>
      <c r="D28" s="28" t="s">
        <v>348</v>
      </c>
      <c r="E28" s="28"/>
      <c r="F28" s="28"/>
    </row>
    <row r="30" spans="2:8" ht="18" x14ac:dyDescent="0.25">
      <c r="B30" s="41" t="s">
        <v>70</v>
      </c>
      <c r="C30" s="41"/>
      <c r="D30" s="41"/>
      <c r="E30" s="41"/>
      <c r="F30" s="41"/>
      <c r="G30" s="41"/>
      <c r="H30" s="41"/>
    </row>
    <row r="31" spans="2:8" x14ac:dyDescent="0.25">
      <c r="B31" s="3" t="s">
        <v>349</v>
      </c>
      <c r="C31" s="3"/>
      <c r="D31" s="3"/>
      <c r="E31" s="3"/>
      <c r="F31" s="3"/>
      <c r="G31" s="3"/>
      <c r="H31" s="3"/>
    </row>
    <row r="32" spans="2:8" x14ac:dyDescent="0.25">
      <c r="B32" s="4" t="s">
        <v>350</v>
      </c>
      <c r="C32" s="4" t="s">
        <v>284</v>
      </c>
      <c r="D32" s="4" t="s">
        <v>351</v>
      </c>
      <c r="E32" s="4" t="s">
        <v>352</v>
      </c>
      <c r="F32" s="4" t="s">
        <v>142</v>
      </c>
      <c r="G32" s="4" t="s">
        <v>353</v>
      </c>
      <c r="H32" s="4" t="s">
        <v>142</v>
      </c>
    </row>
    <row r="33" spans="2:8" x14ac:dyDescent="0.25">
      <c r="B33" s="15">
        <v>12</v>
      </c>
      <c r="C33" s="73" t="s">
        <v>286</v>
      </c>
      <c r="D33" s="28">
        <v>3</v>
      </c>
      <c r="E33" s="28">
        <f>B33+D33</f>
        <v>15</v>
      </c>
      <c r="F33" s="28">
        <f t="shared" ref="F33:F38" si="0">E33</f>
        <v>15</v>
      </c>
      <c r="G33" s="23" t="s">
        <v>354</v>
      </c>
    </row>
    <row r="34" spans="2:8" x14ac:dyDescent="0.25">
      <c r="B34" s="18">
        <v>12</v>
      </c>
      <c r="C34" s="73" t="s">
        <v>289</v>
      </c>
      <c r="D34" s="28">
        <v>3</v>
      </c>
      <c r="E34" s="28">
        <f>B34-D34</f>
        <v>9</v>
      </c>
      <c r="F34" s="28">
        <f t="shared" si="0"/>
        <v>9</v>
      </c>
      <c r="G34" s="23" t="s">
        <v>355</v>
      </c>
    </row>
    <row r="35" spans="2:8" x14ac:dyDescent="0.25">
      <c r="B35" s="15">
        <v>12</v>
      </c>
      <c r="C35" s="73" t="s">
        <v>292</v>
      </c>
      <c r="D35" s="28">
        <v>3</v>
      </c>
      <c r="E35" s="28">
        <f>B35*D35</f>
        <v>36</v>
      </c>
      <c r="F35" s="28">
        <f t="shared" si="0"/>
        <v>36</v>
      </c>
      <c r="G35" s="23" t="s">
        <v>356</v>
      </c>
    </row>
    <row r="36" spans="2:8" x14ac:dyDescent="0.25">
      <c r="B36" s="18">
        <v>12</v>
      </c>
      <c r="C36" s="73" t="s">
        <v>295</v>
      </c>
      <c r="D36" s="28">
        <v>3</v>
      </c>
      <c r="E36" s="28">
        <f>B36/D36</f>
        <v>4</v>
      </c>
      <c r="F36" s="28">
        <f t="shared" si="0"/>
        <v>4</v>
      </c>
    </row>
    <row r="37" spans="2:8" x14ac:dyDescent="0.25">
      <c r="B37" s="15">
        <v>12</v>
      </c>
      <c r="C37" s="73" t="s">
        <v>298</v>
      </c>
      <c r="D37" s="28">
        <v>3</v>
      </c>
      <c r="E37" s="28">
        <f>B37^D37</f>
        <v>1728</v>
      </c>
      <c r="F37" s="28">
        <f t="shared" si="0"/>
        <v>1728</v>
      </c>
    </row>
    <row r="38" spans="2:8" x14ac:dyDescent="0.25">
      <c r="B38" s="18">
        <v>12</v>
      </c>
      <c r="C38" s="73" t="s">
        <v>309</v>
      </c>
      <c r="D38" s="28">
        <v>3</v>
      </c>
      <c r="E38" s="28" t="b">
        <f>B38&gt;D38</f>
        <v>1</v>
      </c>
      <c r="F38" s="28" t="b">
        <f t="shared" si="0"/>
        <v>1</v>
      </c>
    </row>
    <row r="40" spans="2:8" ht="18" x14ac:dyDescent="0.25">
      <c r="B40" s="40" t="s">
        <v>79</v>
      </c>
      <c r="C40" s="40"/>
      <c r="D40" s="40"/>
      <c r="E40" s="40"/>
      <c r="F40" s="40"/>
      <c r="G40" s="40"/>
      <c r="H40" s="40"/>
    </row>
    <row r="41" spans="2:8" x14ac:dyDescent="0.25">
      <c r="B41" s="25" t="s">
        <v>357</v>
      </c>
      <c r="C41" s="25"/>
      <c r="D41" s="25"/>
      <c r="E41" s="25"/>
      <c r="F41" s="25"/>
      <c r="G41" s="25"/>
      <c r="H41" s="25"/>
    </row>
    <row r="42" spans="2:8" x14ac:dyDescent="0.25">
      <c r="B42" s="25" t="s">
        <v>358</v>
      </c>
      <c r="C42" s="25"/>
      <c r="D42" s="25"/>
      <c r="E42" s="25"/>
      <c r="F42" s="25"/>
      <c r="G42" s="25"/>
      <c r="H42" s="25"/>
    </row>
    <row r="43" spans="2:8" x14ac:dyDescent="0.25">
      <c r="B43" s="25" t="s">
        <v>359</v>
      </c>
      <c r="C43" s="25"/>
      <c r="D43" s="25"/>
      <c r="E43" s="25"/>
      <c r="F43" s="25"/>
      <c r="G43" s="25"/>
      <c r="H43" s="25"/>
    </row>
  </sheetData>
  <mergeCells count="9">
    <mergeCell ref="G6:J7"/>
    <mergeCell ref="D24:F24"/>
    <mergeCell ref="B2:O2"/>
    <mergeCell ref="C17:D17"/>
    <mergeCell ref="C18:D18"/>
    <mergeCell ref="C19:D19"/>
    <mergeCell ref="C20:D20"/>
    <mergeCell ref="C21:D21"/>
    <mergeCell ref="B3:O3"/>
  </mergeCells>
  <conditionalFormatting sqref="G9:J9 G11:J11">
    <cfRule type="expression" dxfId="5" priority="6">
      <formula>$J9="FALSO"</formula>
    </cfRule>
  </conditionalFormatting>
  <conditionalFormatting sqref="G10:J10 G12:J14">
    <cfRule type="expression" dxfId="4" priority="7">
      <formula>$J10="VERDADEIRO"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B56A3-593E-4548-97A5-FEC4593422AD}">
  <dimension ref="A2:Q43"/>
  <sheetViews>
    <sheetView zoomScaleNormal="100" workbookViewId="0">
      <selection sqref="A1:A1048576"/>
    </sheetView>
  </sheetViews>
  <sheetFormatPr defaultColWidth="9.42578125" defaultRowHeight="16.5" x14ac:dyDescent="0.3"/>
  <cols>
    <col min="1" max="1" width="3" style="6" customWidth="1"/>
    <col min="2" max="3" width="16.5703125" style="79" customWidth="1"/>
    <col min="4" max="4" width="7.140625" style="79" bestFit="1" customWidth="1"/>
    <col min="5" max="5" width="16.5703125" style="79" customWidth="1"/>
    <col min="6" max="6" width="38.140625" style="79" bestFit="1" customWidth="1"/>
    <col min="7" max="7" width="3.28515625" style="79" customWidth="1"/>
    <col min="8" max="9" width="16.5703125" style="79" customWidth="1"/>
    <col min="10" max="10" width="7.140625" style="79" bestFit="1" customWidth="1"/>
    <col min="11" max="11" width="16.5703125" style="79" customWidth="1"/>
    <col min="12" max="12" width="48.140625" style="79" customWidth="1"/>
    <col min="13" max="13" width="3.28515625" style="79" customWidth="1"/>
    <col min="14" max="15" width="16.5703125" style="79" customWidth="1"/>
    <col min="16" max="16" width="43.7109375" style="79" customWidth="1"/>
    <col min="17" max="16384" width="9.42578125" style="79"/>
  </cols>
  <sheetData>
    <row r="2" spans="2:17" ht="23.25" x14ac:dyDescent="0.3">
      <c r="B2" s="105" t="s">
        <v>493</v>
      </c>
      <c r="C2" s="105"/>
      <c r="D2" s="105"/>
      <c r="E2" s="105"/>
      <c r="F2" s="105"/>
      <c r="G2" s="105"/>
      <c r="H2" s="105"/>
      <c r="I2" s="105"/>
      <c r="J2" s="105"/>
      <c r="K2" s="105"/>
    </row>
    <row r="3" spans="2:17" x14ac:dyDescent="0.3">
      <c r="B3" s="104" t="s">
        <v>492</v>
      </c>
      <c r="C3" s="104"/>
      <c r="D3" s="104"/>
      <c r="E3" s="104"/>
      <c r="F3" s="104"/>
      <c r="G3" s="104"/>
      <c r="H3" s="104"/>
      <c r="I3" s="104"/>
      <c r="J3" s="104"/>
      <c r="K3" s="104"/>
    </row>
    <row r="4" spans="2:17" x14ac:dyDescent="0.3">
      <c r="B4" s="104" t="s">
        <v>491</v>
      </c>
      <c r="C4" s="104"/>
      <c r="D4" s="104"/>
      <c r="E4" s="104"/>
      <c r="F4" s="104"/>
      <c r="G4" s="104"/>
      <c r="H4" s="104"/>
      <c r="I4" s="104"/>
      <c r="J4" s="104"/>
      <c r="K4" s="104"/>
    </row>
    <row r="6" spans="2:17" ht="18" x14ac:dyDescent="0.3">
      <c r="B6" s="209" t="s">
        <v>490</v>
      </c>
      <c r="C6" s="209"/>
      <c r="D6" s="209"/>
      <c r="E6" s="209"/>
      <c r="F6" s="209"/>
      <c r="H6" s="209" t="s">
        <v>489</v>
      </c>
      <c r="I6" s="209"/>
      <c r="J6" s="209"/>
      <c r="K6" s="209"/>
      <c r="L6" s="209"/>
      <c r="N6" s="209" t="s">
        <v>488</v>
      </c>
      <c r="O6" s="209"/>
      <c r="P6" s="209"/>
      <c r="Q6" s="209"/>
    </row>
    <row r="7" spans="2:17" x14ac:dyDescent="0.3">
      <c r="B7" s="210" t="s">
        <v>487</v>
      </c>
      <c r="C7" s="210"/>
      <c r="D7" s="210"/>
      <c r="E7" s="210"/>
      <c r="F7" s="210"/>
      <c r="H7" s="210" t="s">
        <v>486</v>
      </c>
      <c r="I7" s="210"/>
      <c r="J7" s="210"/>
      <c r="K7" s="210"/>
      <c r="L7" s="210"/>
      <c r="N7" s="103" t="s">
        <v>485</v>
      </c>
      <c r="O7" s="103"/>
      <c r="P7" s="103"/>
      <c r="Q7" s="103"/>
    </row>
    <row r="8" spans="2:17" x14ac:dyDescent="0.3">
      <c r="B8" s="208" t="s">
        <v>484</v>
      </c>
      <c r="C8" s="208"/>
      <c r="D8" s="208"/>
      <c r="E8" s="208"/>
      <c r="F8" s="208"/>
      <c r="H8" s="208" t="s">
        <v>483</v>
      </c>
      <c r="I8" s="208"/>
      <c r="J8" s="208"/>
      <c r="K8" s="208"/>
      <c r="L8" s="208"/>
      <c r="N8" s="102" t="s">
        <v>482</v>
      </c>
      <c r="O8" s="102"/>
      <c r="P8" s="102"/>
      <c r="Q8" s="102"/>
    </row>
    <row r="10" spans="2:17" x14ac:dyDescent="0.3">
      <c r="B10" s="101" t="s">
        <v>480</v>
      </c>
      <c r="C10" s="100" t="s">
        <v>479</v>
      </c>
      <c r="D10" s="100" t="s">
        <v>164</v>
      </c>
      <c r="E10" s="100" t="s">
        <v>481</v>
      </c>
      <c r="F10" s="99" t="s">
        <v>176</v>
      </c>
      <c r="H10" s="101" t="s">
        <v>480</v>
      </c>
      <c r="I10" s="100" t="s">
        <v>479</v>
      </c>
      <c r="J10" s="100" t="s">
        <v>164</v>
      </c>
      <c r="K10" s="100" t="s">
        <v>478</v>
      </c>
      <c r="L10" s="99" t="s">
        <v>176</v>
      </c>
      <c r="N10" s="101" t="s">
        <v>448</v>
      </c>
      <c r="O10" s="100" t="s">
        <v>477</v>
      </c>
      <c r="P10" s="99" t="s">
        <v>176</v>
      </c>
    </row>
    <row r="11" spans="2:17" x14ac:dyDescent="0.3">
      <c r="B11" s="98" t="s">
        <v>312</v>
      </c>
      <c r="C11" s="94" t="s">
        <v>312</v>
      </c>
      <c r="D11" s="92" t="s">
        <v>164</v>
      </c>
      <c r="E11" s="94" t="s">
        <v>312</v>
      </c>
      <c r="F11" s="89" t="s">
        <v>476</v>
      </c>
      <c r="H11" s="98" t="s">
        <v>312</v>
      </c>
      <c r="I11" s="94" t="s">
        <v>312</v>
      </c>
      <c r="J11" s="92" t="s">
        <v>164</v>
      </c>
      <c r="K11" s="94" t="s">
        <v>312</v>
      </c>
      <c r="L11" s="89" t="s">
        <v>476</v>
      </c>
      <c r="N11" s="98" t="s">
        <v>312</v>
      </c>
      <c r="O11" s="96" t="s">
        <v>308</v>
      </c>
      <c r="P11" s="89" t="s">
        <v>475</v>
      </c>
    </row>
    <row r="12" spans="2:17" x14ac:dyDescent="0.3">
      <c r="B12" s="98" t="s">
        <v>312</v>
      </c>
      <c r="C12" s="96" t="s">
        <v>308</v>
      </c>
      <c r="D12" s="92" t="s">
        <v>164</v>
      </c>
      <c r="E12" s="96" t="s">
        <v>308</v>
      </c>
      <c r="F12" s="88" t="s">
        <v>473</v>
      </c>
      <c r="H12" s="98" t="s">
        <v>312</v>
      </c>
      <c r="I12" s="96" t="s">
        <v>308</v>
      </c>
      <c r="J12" s="92" t="s">
        <v>164</v>
      </c>
      <c r="K12" s="94" t="s">
        <v>312</v>
      </c>
      <c r="L12" s="88" t="s">
        <v>472</v>
      </c>
      <c r="N12" s="93" t="s">
        <v>308</v>
      </c>
      <c r="O12" s="97" t="s">
        <v>312</v>
      </c>
      <c r="P12" s="90" t="s">
        <v>474</v>
      </c>
    </row>
    <row r="13" spans="2:17" x14ac:dyDescent="0.3">
      <c r="B13" s="95" t="s">
        <v>308</v>
      </c>
      <c r="C13" s="94" t="s">
        <v>312</v>
      </c>
      <c r="D13" s="92" t="s">
        <v>164</v>
      </c>
      <c r="E13" s="96" t="s">
        <v>308</v>
      </c>
      <c r="F13" s="89" t="s">
        <v>473</v>
      </c>
      <c r="H13" s="95" t="s">
        <v>308</v>
      </c>
      <c r="I13" s="94" t="s">
        <v>312</v>
      </c>
      <c r="J13" s="92" t="s">
        <v>164</v>
      </c>
      <c r="K13" s="94" t="s">
        <v>312</v>
      </c>
      <c r="L13" s="89" t="s">
        <v>472</v>
      </c>
    </row>
    <row r="14" spans="2:17" x14ac:dyDescent="0.3">
      <c r="B14" s="93" t="s">
        <v>308</v>
      </c>
      <c r="C14" s="91" t="s">
        <v>308</v>
      </c>
      <c r="D14" s="92" t="s">
        <v>164</v>
      </c>
      <c r="E14" s="91" t="s">
        <v>308</v>
      </c>
      <c r="F14" s="90" t="s">
        <v>471</v>
      </c>
      <c r="H14" s="93" t="s">
        <v>308</v>
      </c>
      <c r="I14" s="91" t="s">
        <v>308</v>
      </c>
      <c r="J14" s="92" t="s">
        <v>164</v>
      </c>
      <c r="K14" s="91" t="s">
        <v>308</v>
      </c>
      <c r="L14" s="90" t="s">
        <v>470</v>
      </c>
    </row>
    <row r="17" spans="2:11" ht="18" x14ac:dyDescent="0.3">
      <c r="B17" s="213" t="s">
        <v>469</v>
      </c>
      <c r="C17" s="213"/>
      <c r="D17" s="213"/>
      <c r="E17" s="213"/>
      <c r="F17" s="213"/>
      <c r="G17" s="213"/>
      <c r="H17" s="213"/>
      <c r="I17" s="213"/>
      <c r="J17" s="213"/>
      <c r="K17" s="213"/>
    </row>
    <row r="18" spans="2:11" x14ac:dyDescent="0.3">
      <c r="B18" s="214" t="s">
        <v>468</v>
      </c>
      <c r="C18" s="214"/>
      <c r="D18" s="214"/>
      <c r="E18" s="214"/>
      <c r="F18" s="214"/>
      <c r="G18" s="214"/>
      <c r="H18" s="214"/>
      <c r="I18" s="214"/>
      <c r="J18" s="214"/>
      <c r="K18" s="214"/>
    </row>
    <row r="20" spans="2:11" x14ac:dyDescent="0.3">
      <c r="B20" s="205" t="s">
        <v>340</v>
      </c>
      <c r="C20" s="207"/>
      <c r="D20" s="205" t="s">
        <v>467</v>
      </c>
      <c r="E20" s="206"/>
      <c r="F20" s="207"/>
      <c r="G20" s="205" t="s">
        <v>466</v>
      </c>
      <c r="H20" s="206"/>
      <c r="I20" s="206"/>
      <c r="J20" s="206"/>
      <c r="K20" s="207"/>
    </row>
    <row r="21" spans="2:11" x14ac:dyDescent="0.3">
      <c r="B21" s="224" t="s">
        <v>465</v>
      </c>
      <c r="C21" s="225"/>
      <c r="D21" s="199" t="s">
        <v>464</v>
      </c>
      <c r="E21" s="200"/>
      <c r="F21" s="201"/>
      <c r="G21" s="216" t="s">
        <v>463</v>
      </c>
      <c r="H21" s="217"/>
      <c r="I21" s="217"/>
      <c r="J21" s="217"/>
      <c r="K21" s="218"/>
    </row>
    <row r="22" spans="2:11" x14ac:dyDescent="0.3">
      <c r="B22" s="226" t="s">
        <v>462</v>
      </c>
      <c r="C22" s="227"/>
      <c r="D22" s="202" t="s">
        <v>461</v>
      </c>
      <c r="E22" s="203"/>
      <c r="F22" s="204"/>
      <c r="G22" s="219" t="s">
        <v>460</v>
      </c>
      <c r="H22" s="220"/>
      <c r="I22" s="220"/>
      <c r="J22" s="220"/>
      <c r="K22" s="221"/>
    </row>
    <row r="23" spans="2:11" x14ac:dyDescent="0.3">
      <c r="B23" s="224" t="s">
        <v>459</v>
      </c>
      <c r="C23" s="225"/>
      <c r="D23" s="199" t="s">
        <v>458</v>
      </c>
      <c r="E23" s="200"/>
      <c r="F23" s="201"/>
      <c r="G23" s="216" t="s">
        <v>457</v>
      </c>
      <c r="H23" s="217"/>
      <c r="I23" s="217"/>
      <c r="J23" s="217"/>
      <c r="K23" s="218"/>
    </row>
    <row r="24" spans="2:11" x14ac:dyDescent="0.3">
      <c r="B24" s="226" t="s">
        <v>456</v>
      </c>
      <c r="C24" s="227"/>
      <c r="D24" s="202" t="s">
        <v>455</v>
      </c>
      <c r="E24" s="203"/>
      <c r="F24" s="204"/>
      <c r="G24" s="219" t="s">
        <v>454</v>
      </c>
      <c r="H24" s="220"/>
      <c r="I24" s="220"/>
      <c r="J24" s="220"/>
      <c r="K24" s="221"/>
    </row>
    <row r="26" spans="2:11" ht="18" x14ac:dyDescent="0.3">
      <c r="B26" s="215" t="s">
        <v>453</v>
      </c>
      <c r="C26" s="215"/>
      <c r="D26" s="215"/>
      <c r="E26" s="215"/>
      <c r="F26" s="215"/>
      <c r="G26" s="215"/>
      <c r="H26" s="215"/>
      <c r="I26" s="215"/>
      <c r="J26" s="215"/>
      <c r="K26" s="215"/>
    </row>
    <row r="27" spans="2:11" x14ac:dyDescent="0.3">
      <c r="B27" s="214" t="s">
        <v>452</v>
      </c>
      <c r="C27" s="214"/>
      <c r="D27" s="214"/>
      <c r="E27" s="214"/>
      <c r="F27" s="214"/>
      <c r="G27" s="214"/>
      <c r="H27" s="214"/>
      <c r="I27" s="214"/>
      <c r="J27" s="214"/>
      <c r="K27" s="214"/>
    </row>
    <row r="28" spans="2:11" x14ac:dyDescent="0.3">
      <c r="B28" s="86" t="s">
        <v>451</v>
      </c>
      <c r="C28" s="87">
        <v>15</v>
      </c>
      <c r="D28" s="84" t="s">
        <v>449</v>
      </c>
    </row>
    <row r="29" spans="2:11" x14ac:dyDescent="0.3">
      <c r="B29" s="86" t="s">
        <v>450</v>
      </c>
      <c r="C29" s="85">
        <v>5</v>
      </c>
      <c r="D29" s="84" t="s">
        <v>449</v>
      </c>
    </row>
    <row r="30" spans="2:11" x14ac:dyDescent="0.3">
      <c r="B30" s="83" t="s">
        <v>448</v>
      </c>
      <c r="C30" s="223" t="s">
        <v>340</v>
      </c>
      <c r="D30" s="223"/>
      <c r="E30" s="223"/>
      <c r="F30" s="83" t="s">
        <v>142</v>
      </c>
    </row>
    <row r="31" spans="2:11" x14ac:dyDescent="0.3">
      <c r="B31" s="81" t="s">
        <v>447</v>
      </c>
      <c r="C31" s="211" t="s">
        <v>446</v>
      </c>
      <c r="D31" s="211"/>
      <c r="E31" s="211"/>
      <c r="F31" s="80" t="b">
        <f>C28&gt;0</f>
        <v>1</v>
      </c>
    </row>
    <row r="32" spans="2:11" x14ac:dyDescent="0.3">
      <c r="B32" s="82" t="s">
        <v>445</v>
      </c>
      <c r="C32" s="212" t="s">
        <v>444</v>
      </c>
      <c r="D32" s="212"/>
      <c r="E32" s="212"/>
      <c r="F32" s="80" t="b">
        <f>C29&gt;0</f>
        <v>1</v>
      </c>
    </row>
    <row r="33" spans="2:11" x14ac:dyDescent="0.3">
      <c r="B33" s="81" t="s">
        <v>443</v>
      </c>
      <c r="C33" s="211" t="s">
        <v>442</v>
      </c>
      <c r="D33" s="211"/>
      <c r="E33" s="211"/>
      <c r="F33" s="80" t="b">
        <f>AND(C28&gt;0,C29&gt;0)</f>
        <v>1</v>
      </c>
    </row>
    <row r="34" spans="2:11" x14ac:dyDescent="0.3">
      <c r="B34" s="82" t="s">
        <v>441</v>
      </c>
      <c r="C34" s="212" t="s">
        <v>440</v>
      </c>
      <c r="D34" s="212"/>
      <c r="E34" s="212"/>
      <c r="F34" s="80" t="b">
        <f>OR(C28&gt;0,C29&gt;0)</f>
        <v>1</v>
      </c>
    </row>
    <row r="35" spans="2:11" x14ac:dyDescent="0.3">
      <c r="B35" s="81" t="s">
        <v>439</v>
      </c>
      <c r="C35" s="211" t="s">
        <v>438</v>
      </c>
      <c r="D35" s="211"/>
      <c r="E35" s="211"/>
      <c r="F35" s="80" t="b">
        <f>NOT(C28&gt;0)</f>
        <v>0</v>
      </c>
    </row>
    <row r="36" spans="2:11" x14ac:dyDescent="0.3">
      <c r="B36" s="82" t="s">
        <v>437</v>
      </c>
      <c r="C36" s="212" t="s">
        <v>436</v>
      </c>
      <c r="D36" s="212"/>
      <c r="E36" s="212"/>
      <c r="F36" s="80" t="b">
        <f>C28&gt;C29</f>
        <v>1</v>
      </c>
    </row>
    <row r="37" spans="2:11" x14ac:dyDescent="0.3">
      <c r="B37" s="81" t="s">
        <v>435</v>
      </c>
      <c r="C37" s="211" t="s">
        <v>434</v>
      </c>
      <c r="D37" s="211"/>
      <c r="E37" s="211"/>
      <c r="F37" s="80" t="b">
        <f>C28=C29</f>
        <v>0</v>
      </c>
    </row>
    <row r="39" spans="2:11" ht="18" x14ac:dyDescent="0.3">
      <c r="B39" s="222" t="s">
        <v>433</v>
      </c>
      <c r="C39" s="222"/>
      <c r="D39" s="222"/>
      <c r="E39" s="222"/>
      <c r="F39" s="222"/>
      <c r="G39" s="222"/>
      <c r="H39" s="222"/>
      <c r="I39" s="222"/>
      <c r="J39" s="222"/>
      <c r="K39" s="222"/>
    </row>
    <row r="40" spans="2:11" x14ac:dyDescent="0.3">
      <c r="B40" s="214" t="s">
        <v>432</v>
      </c>
      <c r="C40" s="214"/>
      <c r="D40" s="214"/>
      <c r="E40" s="214"/>
      <c r="F40" s="214"/>
      <c r="G40" s="214"/>
      <c r="H40" s="214"/>
      <c r="I40" s="214"/>
      <c r="J40" s="214"/>
      <c r="K40" s="214"/>
    </row>
    <row r="41" spans="2:11" x14ac:dyDescent="0.3">
      <c r="B41" s="214" t="s">
        <v>431</v>
      </c>
      <c r="C41" s="214"/>
      <c r="D41" s="214"/>
      <c r="E41" s="214"/>
      <c r="F41" s="214"/>
      <c r="G41" s="214"/>
      <c r="H41" s="214"/>
      <c r="I41" s="214"/>
      <c r="J41" s="214"/>
      <c r="K41" s="214"/>
    </row>
    <row r="42" spans="2:11" x14ac:dyDescent="0.3">
      <c r="B42" s="214" t="s">
        <v>430</v>
      </c>
      <c r="C42" s="214"/>
      <c r="D42" s="214"/>
      <c r="E42" s="214"/>
      <c r="F42" s="214"/>
      <c r="G42" s="214"/>
      <c r="H42" s="214"/>
      <c r="I42" s="214"/>
      <c r="J42" s="214"/>
      <c r="K42" s="214"/>
    </row>
    <row r="43" spans="2:11" x14ac:dyDescent="0.3">
      <c r="B43" s="214" t="s">
        <v>429</v>
      </c>
      <c r="C43" s="214"/>
      <c r="D43" s="214"/>
      <c r="E43" s="214"/>
      <c r="F43" s="214"/>
      <c r="G43" s="214"/>
      <c r="H43" s="214"/>
      <c r="I43" s="214"/>
      <c r="J43" s="214"/>
      <c r="K43" s="214"/>
    </row>
  </sheetData>
  <mergeCells count="39">
    <mergeCell ref="B43:K43"/>
    <mergeCell ref="N6:Q6"/>
    <mergeCell ref="B20:C20"/>
    <mergeCell ref="G20:K20"/>
    <mergeCell ref="B21:C21"/>
    <mergeCell ref="B22:C22"/>
    <mergeCell ref="B23:C23"/>
    <mergeCell ref="B24:C24"/>
    <mergeCell ref="G21:K21"/>
    <mergeCell ref="G22:K22"/>
    <mergeCell ref="B39:K39"/>
    <mergeCell ref="B40:K40"/>
    <mergeCell ref="B41:K41"/>
    <mergeCell ref="B42:K42"/>
    <mergeCell ref="C30:E30"/>
    <mergeCell ref="C31:E31"/>
    <mergeCell ref="C32:E32"/>
    <mergeCell ref="C33:E33"/>
    <mergeCell ref="C34:E34"/>
    <mergeCell ref="C35:E35"/>
    <mergeCell ref="C36:E36"/>
    <mergeCell ref="C37:E37"/>
    <mergeCell ref="B17:K17"/>
    <mergeCell ref="B18:K18"/>
    <mergeCell ref="B26:K26"/>
    <mergeCell ref="G23:K23"/>
    <mergeCell ref="G24:K24"/>
    <mergeCell ref="D21:F21"/>
    <mergeCell ref="D22:F22"/>
    <mergeCell ref="B27:K27"/>
    <mergeCell ref="D23:F23"/>
    <mergeCell ref="D24:F24"/>
    <mergeCell ref="D20:F20"/>
    <mergeCell ref="B8:F8"/>
    <mergeCell ref="H6:L6"/>
    <mergeCell ref="H7:L7"/>
    <mergeCell ref="H8:L8"/>
    <mergeCell ref="B6:F6"/>
    <mergeCell ref="B7:F7"/>
  </mergeCells>
  <conditionalFormatting sqref="F31:F37">
    <cfRule type="expression" dxfId="3" priority="1">
      <formula>$F31=1</formula>
    </cfRule>
    <cfRule type="expression" dxfId="2" priority="2">
      <formula>$F31=0</formula>
    </cfRule>
  </conditionalFormatting>
  <pageMargins left="0.75" right="0.75" top="1" bottom="1" header="0.511811023622047" footer="0.511811023622047"/>
  <pageSetup paperSize="9" orientation="portrait" horizontalDpi="300" verticalDpi="300" r:id="rId1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AD3AB-74DE-4997-8F01-DC4F43896F12}">
  <dimension ref="A2:H55"/>
  <sheetViews>
    <sheetView topLeftCell="A33" zoomScaleNormal="100" workbookViewId="0">
      <selection sqref="A1:A1048576"/>
    </sheetView>
  </sheetViews>
  <sheetFormatPr defaultColWidth="9.42578125" defaultRowHeight="16.5" x14ac:dyDescent="0.3"/>
  <cols>
    <col min="1" max="1" width="3" style="6" customWidth="1"/>
    <col min="2" max="2" width="56" style="228" bestFit="1" customWidth="1"/>
    <col min="3" max="3" width="52.85546875" style="228" customWidth="1"/>
    <col min="4" max="4" width="2.140625" style="228" bestFit="1" customWidth="1"/>
    <col min="5" max="5" width="56.42578125" style="228" bestFit="1" customWidth="1"/>
    <col min="6" max="6" width="37.140625" style="228" bestFit="1" customWidth="1"/>
    <col min="7" max="7" width="40.85546875" style="228" customWidth="1"/>
    <col min="8" max="8" width="2.140625" style="228" bestFit="1" customWidth="1"/>
    <col min="9" max="16384" width="9.42578125" style="228"/>
  </cols>
  <sheetData>
    <row r="2" spans="2:8" ht="23.25" x14ac:dyDescent="0.3">
      <c r="B2" s="229" t="s">
        <v>627</v>
      </c>
      <c r="C2" s="229"/>
      <c r="D2" s="229"/>
      <c r="E2" s="229"/>
      <c r="F2" s="229"/>
      <c r="G2" s="229"/>
    </row>
    <row r="3" spans="2:8" x14ac:dyDescent="0.3">
      <c r="B3" s="230" t="s">
        <v>626</v>
      </c>
      <c r="C3" s="230"/>
      <c r="D3" s="230"/>
      <c r="E3" s="230"/>
      <c r="F3" s="230"/>
      <c r="G3" s="230"/>
    </row>
    <row r="5" spans="2:8" ht="18" x14ac:dyDescent="0.3">
      <c r="B5" s="231" t="s">
        <v>625</v>
      </c>
      <c r="C5" s="232"/>
      <c r="D5" s="232"/>
      <c r="E5" s="232"/>
      <c r="F5" s="232"/>
      <c r="G5" s="232"/>
      <c r="H5" s="232"/>
    </row>
    <row r="6" spans="2:8" ht="18" x14ac:dyDescent="0.3">
      <c r="B6" s="233" t="s">
        <v>164</v>
      </c>
      <c r="C6" s="234" t="s">
        <v>228</v>
      </c>
      <c r="D6" s="234" t="s">
        <v>166</v>
      </c>
      <c r="E6" s="235" t="s">
        <v>624</v>
      </c>
      <c r="F6" s="236" t="s">
        <v>623</v>
      </c>
      <c r="G6" s="237" t="s">
        <v>622</v>
      </c>
      <c r="H6" s="234" t="s">
        <v>168</v>
      </c>
    </row>
    <row r="7" spans="2:8" x14ac:dyDescent="0.3">
      <c r="C7" s="238" t="s">
        <v>621</v>
      </c>
      <c r="D7" s="238"/>
      <c r="E7" s="239" t="s">
        <v>620</v>
      </c>
      <c r="F7" s="240" t="s">
        <v>619</v>
      </c>
      <c r="G7" s="241" t="s">
        <v>618</v>
      </c>
    </row>
    <row r="9" spans="2:8" ht="18" x14ac:dyDescent="0.3">
      <c r="B9" s="231" t="s">
        <v>617</v>
      </c>
      <c r="C9" s="231"/>
      <c r="D9" s="231"/>
      <c r="E9" s="231"/>
      <c r="F9" s="231"/>
      <c r="G9" s="231"/>
      <c r="H9" s="231"/>
    </row>
    <row r="10" spans="2:8" x14ac:dyDescent="0.3">
      <c r="B10" s="242" t="s">
        <v>616</v>
      </c>
      <c r="C10" s="263" t="s">
        <v>539</v>
      </c>
      <c r="D10" s="264"/>
      <c r="E10" s="242" t="s">
        <v>615</v>
      </c>
      <c r="F10" s="242" t="s">
        <v>614</v>
      </c>
      <c r="G10" s="243" t="s">
        <v>27</v>
      </c>
      <c r="H10" s="244"/>
    </row>
    <row r="11" spans="2:8" x14ac:dyDescent="0.3">
      <c r="B11" s="245" t="s">
        <v>613</v>
      </c>
      <c r="C11" s="269" t="s">
        <v>612</v>
      </c>
      <c r="D11" s="270"/>
      <c r="E11" s="247" t="s">
        <v>611</v>
      </c>
      <c r="F11" s="248" t="s">
        <v>610</v>
      </c>
      <c r="G11" s="249" t="s">
        <v>609</v>
      </c>
      <c r="H11" s="250"/>
    </row>
    <row r="12" spans="2:8" x14ac:dyDescent="0.3">
      <c r="B12" s="251" t="s">
        <v>608</v>
      </c>
      <c r="C12" s="271" t="s">
        <v>607</v>
      </c>
      <c r="D12" s="272"/>
      <c r="E12" s="247" t="s">
        <v>606</v>
      </c>
      <c r="F12" s="248" t="s">
        <v>605</v>
      </c>
      <c r="G12" s="253" t="s">
        <v>604</v>
      </c>
      <c r="H12" s="254"/>
    </row>
    <row r="13" spans="2:8" x14ac:dyDescent="0.3">
      <c r="B13" s="245" t="s">
        <v>603</v>
      </c>
      <c r="C13" s="269" t="s">
        <v>602</v>
      </c>
      <c r="D13" s="270"/>
      <c r="E13" s="247" t="s">
        <v>601</v>
      </c>
      <c r="F13" s="248" t="s">
        <v>600</v>
      </c>
      <c r="G13" s="249" t="s">
        <v>599</v>
      </c>
      <c r="H13" s="250"/>
    </row>
    <row r="14" spans="2:8" x14ac:dyDescent="0.3">
      <c r="B14" s="251" t="s">
        <v>598</v>
      </c>
      <c r="C14" s="271" t="s">
        <v>597</v>
      </c>
      <c r="D14" s="272"/>
      <c r="E14" s="247" t="s">
        <v>596</v>
      </c>
      <c r="F14" s="248" t="s">
        <v>595</v>
      </c>
      <c r="G14" s="253" t="s">
        <v>594</v>
      </c>
      <c r="H14" s="254"/>
    </row>
    <row r="15" spans="2:8" x14ac:dyDescent="0.3">
      <c r="B15" s="245" t="s">
        <v>593</v>
      </c>
      <c r="C15" s="269" t="s">
        <v>592</v>
      </c>
      <c r="D15" s="270"/>
      <c r="E15" s="247" t="s">
        <v>591</v>
      </c>
      <c r="F15" s="248" t="s">
        <v>590</v>
      </c>
      <c r="G15" s="249" t="s">
        <v>589</v>
      </c>
      <c r="H15" s="250"/>
    </row>
    <row r="17" spans="2:7" ht="18" x14ac:dyDescent="0.3">
      <c r="B17" s="231" t="s">
        <v>588</v>
      </c>
      <c r="C17" s="231"/>
      <c r="D17" s="231"/>
      <c r="E17" s="231"/>
      <c r="F17" s="231"/>
      <c r="G17" s="231"/>
    </row>
    <row r="18" spans="2:7" x14ac:dyDescent="0.3">
      <c r="B18" s="230" t="s">
        <v>587</v>
      </c>
      <c r="C18" s="230"/>
      <c r="D18" s="230"/>
      <c r="E18" s="230"/>
      <c r="F18" s="230"/>
      <c r="G18" s="230"/>
    </row>
    <row r="19" spans="2:7" x14ac:dyDescent="0.3">
      <c r="B19" s="242" t="s">
        <v>340</v>
      </c>
      <c r="C19" s="263" t="s">
        <v>586</v>
      </c>
      <c r="D19" s="264"/>
      <c r="E19" s="242" t="s">
        <v>466</v>
      </c>
    </row>
    <row r="20" spans="2:7" x14ac:dyDescent="0.3">
      <c r="B20" s="246" t="s">
        <v>585</v>
      </c>
      <c r="C20" s="273" t="s">
        <v>584</v>
      </c>
      <c r="D20" s="274"/>
      <c r="E20" s="255" t="s">
        <v>583</v>
      </c>
    </row>
    <row r="21" spans="2:7" x14ac:dyDescent="0.3">
      <c r="B21" s="252" t="s">
        <v>582</v>
      </c>
      <c r="C21" s="275" t="s">
        <v>581</v>
      </c>
      <c r="D21" s="276"/>
      <c r="E21" s="256" t="s">
        <v>580</v>
      </c>
    </row>
    <row r="22" spans="2:7" x14ac:dyDescent="0.3">
      <c r="B22" s="246" t="s">
        <v>579</v>
      </c>
      <c r="C22" s="273" t="s">
        <v>578</v>
      </c>
      <c r="D22" s="274"/>
      <c r="E22" s="255" t="s">
        <v>577</v>
      </c>
    </row>
    <row r="23" spans="2:7" x14ac:dyDescent="0.3">
      <c r="B23" s="252" t="s">
        <v>576</v>
      </c>
      <c r="C23" s="275" t="s">
        <v>575</v>
      </c>
      <c r="D23" s="276"/>
      <c r="E23" s="256" t="s">
        <v>574</v>
      </c>
    </row>
    <row r="25" spans="2:7" ht="18" x14ac:dyDescent="0.3">
      <c r="B25" s="257" t="s">
        <v>573</v>
      </c>
      <c r="C25" s="257"/>
      <c r="D25" s="257"/>
      <c r="E25" s="257"/>
      <c r="F25" s="257"/>
      <c r="G25" s="257"/>
    </row>
    <row r="26" spans="2:7" x14ac:dyDescent="0.3">
      <c r="B26" s="230" t="s">
        <v>572</v>
      </c>
      <c r="C26" s="230"/>
      <c r="D26" s="230"/>
      <c r="E26" s="230"/>
      <c r="F26" s="230"/>
      <c r="G26" s="230"/>
    </row>
    <row r="27" spans="2:7" x14ac:dyDescent="0.3">
      <c r="B27" s="258" t="s">
        <v>571</v>
      </c>
      <c r="C27" s="258"/>
      <c r="D27" s="258"/>
      <c r="E27" s="258"/>
      <c r="F27" s="258"/>
      <c r="G27" s="258"/>
    </row>
    <row r="28" spans="2:7" x14ac:dyDescent="0.3">
      <c r="B28" s="242" t="s">
        <v>448</v>
      </c>
      <c r="C28" s="263" t="s">
        <v>142</v>
      </c>
      <c r="D28" s="264"/>
      <c r="E28" s="242" t="s">
        <v>570</v>
      </c>
    </row>
    <row r="29" spans="2:7" x14ac:dyDescent="0.3">
      <c r="B29" s="245" t="s">
        <v>569</v>
      </c>
      <c r="C29" s="265" t="s">
        <v>568</v>
      </c>
      <c r="D29" s="266"/>
      <c r="E29" s="255" t="s">
        <v>567</v>
      </c>
    </row>
    <row r="30" spans="2:7" x14ac:dyDescent="0.3">
      <c r="B30" s="251" t="s">
        <v>566</v>
      </c>
      <c r="C30" s="267" t="s">
        <v>565</v>
      </c>
      <c r="D30" s="268"/>
      <c r="E30" s="256" t="s">
        <v>564</v>
      </c>
    </row>
    <row r="31" spans="2:7" x14ac:dyDescent="0.3">
      <c r="B31" s="245" t="s">
        <v>563</v>
      </c>
      <c r="C31" s="265" t="s">
        <v>562</v>
      </c>
      <c r="D31" s="266"/>
      <c r="E31" s="255" t="s">
        <v>561</v>
      </c>
    </row>
    <row r="32" spans="2:7" x14ac:dyDescent="0.3">
      <c r="B32" s="251" t="s">
        <v>560</v>
      </c>
      <c r="C32" s="267" t="s">
        <v>559</v>
      </c>
      <c r="D32" s="268"/>
      <c r="E32" s="256" t="s">
        <v>558</v>
      </c>
    </row>
    <row r="34" spans="2:7" x14ac:dyDescent="0.3">
      <c r="B34" s="258" t="s">
        <v>557</v>
      </c>
      <c r="C34" s="258"/>
      <c r="D34" s="258"/>
      <c r="E34" s="258"/>
      <c r="F34" s="258"/>
      <c r="G34" s="258"/>
    </row>
    <row r="35" spans="2:7" x14ac:dyDescent="0.3">
      <c r="B35" s="242" t="s">
        <v>556</v>
      </c>
      <c r="C35" s="263" t="s">
        <v>555</v>
      </c>
      <c r="D35" s="264"/>
      <c r="E35" s="242" t="s">
        <v>140</v>
      </c>
    </row>
    <row r="36" spans="2:7" x14ac:dyDescent="0.3">
      <c r="B36" s="245" t="s">
        <v>554</v>
      </c>
      <c r="C36" s="277" t="s">
        <v>553</v>
      </c>
      <c r="D36" s="278"/>
      <c r="E36" s="255" t="s">
        <v>552</v>
      </c>
    </row>
    <row r="37" spans="2:7" x14ac:dyDescent="0.3">
      <c r="B37" s="251" t="s">
        <v>551</v>
      </c>
      <c r="C37" s="277" t="s">
        <v>550</v>
      </c>
      <c r="D37" s="278"/>
      <c r="E37" s="256" t="s">
        <v>549</v>
      </c>
    </row>
    <row r="38" spans="2:7" x14ac:dyDescent="0.3">
      <c r="B38" s="245" t="s">
        <v>548</v>
      </c>
      <c r="C38" s="279" t="s">
        <v>547</v>
      </c>
      <c r="D38" s="280"/>
      <c r="E38" s="255" t="s">
        <v>546</v>
      </c>
    </row>
    <row r="39" spans="2:7" x14ac:dyDescent="0.3">
      <c r="B39" s="251" t="s">
        <v>545</v>
      </c>
      <c r="C39" s="281" t="s">
        <v>544</v>
      </c>
      <c r="D39" s="282"/>
      <c r="E39" s="256" t="s">
        <v>543</v>
      </c>
    </row>
    <row r="41" spans="2:7" ht="18" x14ac:dyDescent="0.3">
      <c r="B41" s="259" t="s">
        <v>453</v>
      </c>
      <c r="C41" s="259"/>
      <c r="D41" s="259"/>
      <c r="E41" s="259"/>
      <c r="F41" s="259"/>
      <c r="G41" s="259"/>
    </row>
    <row r="42" spans="2:7" x14ac:dyDescent="0.3">
      <c r="B42" s="230" t="s">
        <v>542</v>
      </c>
      <c r="C42" s="230"/>
      <c r="D42" s="230"/>
      <c r="E42" s="230"/>
      <c r="F42" s="230"/>
      <c r="G42" s="230"/>
    </row>
    <row r="43" spans="2:7" ht="21.75" x14ac:dyDescent="0.3">
      <c r="B43" s="260" t="s">
        <v>541</v>
      </c>
      <c r="C43" s="283">
        <v>14</v>
      </c>
      <c r="D43" s="284"/>
      <c r="E43" s="261" t="s">
        <v>540</v>
      </c>
    </row>
    <row r="44" spans="2:7" x14ac:dyDescent="0.3">
      <c r="B44" s="242" t="s">
        <v>539</v>
      </c>
      <c r="C44" s="263" t="s">
        <v>142</v>
      </c>
      <c r="D44" s="264"/>
      <c r="E44" s="242" t="s">
        <v>176</v>
      </c>
    </row>
    <row r="45" spans="2:7" x14ac:dyDescent="0.3">
      <c r="B45" s="246" t="s">
        <v>538</v>
      </c>
      <c r="C45" s="285" t="str">
        <f>IF(C43&gt;=10,"Aprovado","Reprovado")</f>
        <v>Aprovado</v>
      </c>
      <c r="D45" s="286"/>
      <c r="E45" s="255" t="s">
        <v>537</v>
      </c>
    </row>
    <row r="46" spans="2:7" x14ac:dyDescent="0.3">
      <c r="B46" s="252" t="s">
        <v>536</v>
      </c>
      <c r="C46" s="285" t="str">
        <f>IF(C43&gt;=18,"MB",IF(C43&gt;=14,"B",IF(C43&gt;=10,"S","I")))</f>
        <v>B</v>
      </c>
      <c r="D46" s="286"/>
      <c r="E46" s="256" t="s">
        <v>535</v>
      </c>
    </row>
    <row r="47" spans="2:7" x14ac:dyDescent="0.3">
      <c r="B47" s="246" t="s">
        <v>534</v>
      </c>
      <c r="C47" s="285" t="str">
        <f>IF(AND(C43&gt;=10,C43&lt;=20),"Válida","Inválida")</f>
        <v>Válida</v>
      </c>
      <c r="D47" s="286"/>
      <c r="E47" s="255" t="s">
        <v>533</v>
      </c>
    </row>
    <row r="48" spans="2:7" x14ac:dyDescent="0.3">
      <c r="B48" s="252" t="s">
        <v>532</v>
      </c>
      <c r="C48" s="285" t="str">
        <f>IF(OR(C43=20,C43=19),"Excelente","Outro")</f>
        <v>Outro</v>
      </c>
      <c r="D48" s="286"/>
      <c r="E48" s="256" t="s">
        <v>531</v>
      </c>
    </row>
    <row r="49" spans="2:7" x14ac:dyDescent="0.3">
      <c r="B49" s="246" t="s">
        <v>530</v>
      </c>
      <c r="C49" s="285" t="str">
        <f>IF(NOT(C43&gt;=10),"Reprovado","Aprovado")</f>
        <v>Aprovado</v>
      </c>
      <c r="D49" s="286"/>
      <c r="E49" s="255" t="s">
        <v>529</v>
      </c>
    </row>
    <row r="51" spans="2:7" ht="18" x14ac:dyDescent="0.3">
      <c r="B51" s="262" t="s">
        <v>433</v>
      </c>
      <c r="C51" s="262"/>
      <c r="D51" s="262"/>
      <c r="E51" s="262"/>
      <c r="F51" s="262"/>
      <c r="G51" s="262"/>
    </row>
    <row r="52" spans="2:7" x14ac:dyDescent="0.3">
      <c r="B52" s="230" t="s">
        <v>528</v>
      </c>
      <c r="C52" s="230"/>
      <c r="D52" s="230"/>
      <c r="E52" s="230"/>
      <c r="F52" s="230"/>
      <c r="G52" s="230"/>
    </row>
    <row r="53" spans="2:7" x14ac:dyDescent="0.3">
      <c r="B53" s="230" t="s">
        <v>527</v>
      </c>
      <c r="C53" s="230"/>
      <c r="D53" s="230"/>
      <c r="E53" s="230"/>
      <c r="F53" s="230"/>
      <c r="G53" s="230"/>
    </row>
    <row r="54" spans="2:7" x14ac:dyDescent="0.3">
      <c r="B54" s="230" t="s">
        <v>526</v>
      </c>
      <c r="C54" s="230"/>
      <c r="D54" s="230"/>
      <c r="E54" s="230"/>
      <c r="F54" s="230"/>
      <c r="G54" s="230"/>
    </row>
    <row r="55" spans="2:7" x14ac:dyDescent="0.3">
      <c r="B55" s="230" t="s">
        <v>525</v>
      </c>
      <c r="C55" s="230"/>
      <c r="D55" s="230"/>
      <c r="E55" s="230"/>
      <c r="F55" s="230"/>
      <c r="G55" s="230"/>
    </row>
  </sheetData>
  <mergeCells count="49">
    <mergeCell ref="C46:D46"/>
    <mergeCell ref="C47:D47"/>
    <mergeCell ref="C48:D48"/>
    <mergeCell ref="C49:D49"/>
    <mergeCell ref="C37:D37"/>
    <mergeCell ref="C38:D38"/>
    <mergeCell ref="C39:D39"/>
    <mergeCell ref="C43:D43"/>
    <mergeCell ref="C44:D44"/>
    <mergeCell ref="C45:D45"/>
    <mergeCell ref="C29:D29"/>
    <mergeCell ref="C30:D30"/>
    <mergeCell ref="C31:D31"/>
    <mergeCell ref="C32:D32"/>
    <mergeCell ref="C35:D35"/>
    <mergeCell ref="C36:D36"/>
    <mergeCell ref="C20:D20"/>
    <mergeCell ref="C21:D21"/>
    <mergeCell ref="C22:D22"/>
    <mergeCell ref="C23:D23"/>
    <mergeCell ref="C19:D19"/>
    <mergeCell ref="C28:D28"/>
    <mergeCell ref="B53:G53"/>
    <mergeCell ref="G11:H11"/>
    <mergeCell ref="G12:H12"/>
    <mergeCell ref="G13:H13"/>
    <mergeCell ref="G14:H14"/>
    <mergeCell ref="G15:H15"/>
    <mergeCell ref="C11:D11"/>
    <mergeCell ref="C12:D12"/>
    <mergeCell ref="C13:D13"/>
    <mergeCell ref="C14:D14"/>
    <mergeCell ref="B25:G25"/>
    <mergeCell ref="B26:G26"/>
    <mergeCell ref="B27:G27"/>
    <mergeCell ref="B34:G34"/>
    <mergeCell ref="B54:G54"/>
    <mergeCell ref="B55:G55"/>
    <mergeCell ref="B41:G41"/>
    <mergeCell ref="B42:G42"/>
    <mergeCell ref="B51:G51"/>
    <mergeCell ref="B52:G52"/>
    <mergeCell ref="B2:G2"/>
    <mergeCell ref="B3:G3"/>
    <mergeCell ref="B18:G18"/>
    <mergeCell ref="G10:H10"/>
    <mergeCell ref="C7:D7"/>
    <mergeCell ref="C10:D10"/>
    <mergeCell ref="C15:D15"/>
  </mergeCells>
  <conditionalFormatting sqref="C45:C49">
    <cfRule type="expression" dxfId="1" priority="1">
      <formula>$C45="Aprovado"</formula>
    </cfRule>
    <cfRule type="expression" dxfId="0" priority="2">
      <formula>$C45="Reprovado"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Indice</vt:lpstr>
      <vt:lpstr>O que é uma Referencia</vt:lpstr>
      <vt:lpstr>Referencias</vt:lpstr>
      <vt:lpstr>Intervalos</vt:lpstr>
      <vt:lpstr>Gestao de Nomes</vt:lpstr>
      <vt:lpstr>Argumentos</vt:lpstr>
      <vt:lpstr>Operadores</vt:lpstr>
      <vt:lpstr>Tabelas de Verdade</vt:lpstr>
      <vt:lpstr>Condicionais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Cerejo Lopes</cp:lastModifiedBy>
  <cp:revision>0</cp:revision>
  <dcterms:created xsi:type="dcterms:W3CDTF">2026-08-11T17:26:58Z</dcterms:created>
  <dcterms:modified xsi:type="dcterms:W3CDTF">2026-09-09T09:52:49Z</dcterms:modified>
  <dc:language>en-US</dc:language>
</cp:coreProperties>
</file>