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autoCompressPictures="0"/>
  <xr:revisionPtr revIDLastSave="0" documentId="8_{2A9BCCC6-277A-4668-A2CF-87846DF1E168}" xr6:coauthVersionLast="47" xr6:coauthVersionMax="47" xr10:uidLastSave="{00000000-0000-0000-0000-000000000000}"/>
  <bookViews>
    <workbookView xWindow="-108" yWindow="-108" windowWidth="23256" windowHeight="12456" xr2:uid="{00000000-000D-0000-FFFF-FFFF00000000}"/>
  </bookViews>
  <sheets>
    <sheet name="Início" sheetId="28" r:id="rId1"/>
    <sheet name="1. Adicionar" sheetId="21" r:id="rId2"/>
    <sheet name="2. Preencher" sheetId="23" r:id="rId3"/>
    <sheet name="3. Dividir" sheetId="24" r:id="rId4"/>
    <sheet name="4. Transpor" sheetId="25" r:id="rId5"/>
    <sheet name="5. Ordenar e filtrar" sheetId="32" r:id="rId6"/>
    <sheet name="6. Tabelas" sheetId="26" r:id="rId7"/>
    <sheet name="7. Listas pendentes" sheetId="27" r:id="rId8"/>
    <sheet name="8. Analisar" sheetId="33" r:id="rId9"/>
    <sheet name="9. Gráficos" sheetId="34" r:id="rId10"/>
    <sheet name="10. Tabelas Dinâmicas" sheetId="35" r:id="rId11"/>
    <sheet name="Saiba mais" sheetId="36" r:id="rId12"/>
  </sheets>
  <definedNames>
    <definedName name="_xlnm._FilterDatabase" localSheetId="5" hidden="1">'5. Ordenar e filtrar'!$C$5:$G$13</definedName>
    <definedName name="Carne">'1. Adicionar'!$F$3:$G$7</definedName>
    <definedName name="Fruta">'1. Adicionar'!$C$3:$D$7</definedName>
    <definedName name="Itens">'1. Adicionar'!$C$10:$D$15</definedName>
    <definedName name="MaisFruta">'1. Adicionar'!$C$37:$D$41</definedName>
    <definedName name="MaisItem">'1. Adicionar'!$C$47:$D$51</definedName>
    <definedName name="MaisItens">'1. Adicionar'!$F$47:$G$51</definedName>
    <definedName name="PontosExtra">'1. Adicionar'!$F$10:$G$15</definedName>
    <definedName name="SOMA.SE">'1. Adicionar'!$C$72:$D$77</definedName>
    <definedName name="SOMA.SEPontosExtra">'1. Adicionar'!$F$72:$G$77</definedName>
    <definedName name="SOMAPontosExtra">'1. Adicionar'!$F$10:$G$15</definedName>
    <definedName name="Total">'1. Adicionar'!$E$53:$E$54</definedName>
  </definedNames>
  <calcPr calcId="191029"/>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5" i="23" l="1"/>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G4" i="23"/>
  <c r="D78" i="21" l="1"/>
</calcChain>
</file>

<file path=xl/sharedStrings.xml><?xml version="1.0" encoding="utf-8"?>
<sst xmlns="http://schemas.openxmlformats.org/spreadsheetml/2006/main" count="667" uniqueCount="377">
  <si>
    <t>Bem-vindo ao Excel. 
Instruções para os leitores de ecrã: Em apenas 10 passos, saberá trabalhar perfeitamente com o Excel, a aplicação de folhas de cálculo mais popular em todo o mundo. 
Existem mais 11 folhas nesta apresentação. As instruções para cada folha começam na célula A1 e cada passo subsequente encontra-se na célula A2, A3 e assim sucessivamente. 
As instruções indicam as células necessárias para utilizar uma funcionalidade ou continuar a ler.
Para começar, prima Ctrl+Page Down.</t>
  </si>
  <si>
    <t>Bem-vindo ao Excel</t>
  </si>
  <si>
    <t>Em apenas 10 passos, saberá trabalhar perfeitamente
com o Excel, a aplicação de folhas de cálculo mais popular em todo o mundo.</t>
  </si>
  <si>
    <t>Aceda à parte superior ao premir Ctrl+Home. Para começar a apresentação, prima Ctrl+Page Down.</t>
  </si>
  <si>
    <t>Some números como um perito</t>
  </si>
  <si>
    <t>Eis algumas formas de somar números no Excel:</t>
  </si>
  <si>
    <t>Aceda à célula D8 ao premir Ctrl+B, escreva D8 e, em seguida, prima Enter.</t>
  </si>
  <si>
    <t>Tipo =SOMA(D4:D7) e, em seguida, prima Enter.</t>
  </si>
  <si>
    <t xml:space="preserve">O resultado é 170. </t>
  </si>
  <si>
    <t>Aceda à célula G8. Prima Alt+= e, em seguida, prima Enter.</t>
  </si>
  <si>
    <t>O resultado na célula G8 é 140.</t>
  </si>
  <si>
    <t>Agora some apenas os números maiores que 50. Aceda à célula D16. Escreva =SOMA.SE(D11:D15;"&gt;50") e prima Enter. O resultado é 100.</t>
  </si>
  <si>
    <t>Desça para ver mais detalhes: Aceda à célula A27. Em alternativa, para avançar para o passo seguinte, prima Ctrl+Page Down.</t>
  </si>
  <si>
    <t xml:space="preserve">Mais informações sobre a função SOMA </t>
  </si>
  <si>
    <t>Em algumas das sugestões acima, mostrámos como utilizar a função SOMA. Eis mais detalhes acerca desta função.</t>
  </si>
  <si>
    <t>A fórmula na célula D42: =SOMA(D38:D41).</t>
  </si>
  <si>
    <t>Se a função SOMA na célula D42 pudesse falar, ela diria: Some os valores nas células D38, D39, D40 e D41.</t>
  </si>
  <si>
    <t>Esta é outra forma de como pode ser utilizada:</t>
  </si>
  <si>
    <t>As células E53 a E54 contêm dados com uma coluna: Total.</t>
  </si>
  <si>
    <t>A fórmula na célula E54: =SOMA(D48;G48:G51;100).</t>
  </si>
  <si>
    <t>Se a fórmula na célula E54 pudesse falar, ela diria: Some o seguinte: o valor na célula D48, os valores nas células G48, G49, G50 e G51 e 100.</t>
  </si>
  <si>
    <t>A fórmula na célula E54 utiliza o seguinte:</t>
  </si>
  <si>
    <t xml:space="preserve">• Uma referência de célula, que é o "endereço" ou "nome" de uma célula. D48 é a referência de célula na fórmula acima. </t>
  </si>
  <si>
    <t xml:space="preserve">• Um intervalo de células, que é uma série de células que começa numa célula e termina noutra. G48:G51 é o intervalo de células na fórmula. </t>
  </si>
  <si>
    <t xml:space="preserve">• Uma constante, que é o número 100. </t>
  </si>
  <si>
    <t xml:space="preserve">DETALHE IMPORTANTE: Aceda à célula E54. Verá o número 100 no fim da fórmula.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ocultada dentro de uma fórmula. </t>
  </si>
  <si>
    <t>Aceda à célula A66 para obter a instrução seguinte.</t>
  </si>
  <si>
    <t xml:space="preserve">Mais informações sobre a função SOMA.SE </t>
  </si>
  <si>
    <t xml:space="preserve">Também mostrámos a função SOMA.SE no início desta folha, nas células A10 e A11. A função SOMA.SE soma os totais com base num critério. </t>
  </si>
  <si>
    <t>Se a função SOMA.SE pudesse falar, ela diria: Some alguns valores com base neste critério, procure nas células D73 a D77 e, se o valor for superior a 50, some.</t>
  </si>
  <si>
    <t>NOTA: se achar que está a criar demasiadas fórmulas SOMA.SE, talvez uma tabela dinâmica seja uma melhor solução. Veja a folha de cálculo Tabela Dinâmica para obter mais informações.</t>
  </si>
  <si>
    <t xml:space="preserve">INFORMAÇÕES ÚTEIS: Aceda à célula G78. A fórmula na célula G78: =SOMA.SE(G73:G77;"&gt;=50") é diferente da fórmula na célula D78. Especificamente, o critério de soma é "&gt;=50", que significa maior do que ou igual a 50. Existem outros operadores que pode utilizar como "&lt;=50", que significa menor ou igual a 50. Também pode utilizar "&lt;&gt;50", que significa diferente de 50. 
</t>
  </si>
  <si>
    <t>Aceda à célula A86 para ir para a instrução seguinte.</t>
  </si>
  <si>
    <t>Mais informações na Web</t>
  </si>
  <si>
    <t>Tudo sobre a função SOMA</t>
  </si>
  <si>
    <t>Tudo sobre a função SOMA.SE</t>
  </si>
  <si>
    <t>Utilizar o Excel como uma calculadora</t>
  </si>
  <si>
    <t>Formação online gratuita do Excel</t>
  </si>
  <si>
    <t>Aceda à parte superior ao premir Ctrl+Home. Para avançar para o passo seguinte, prima Ctrl+Page Down.</t>
  </si>
  <si>
    <t>Fruta</t>
  </si>
  <si>
    <t>Maçãs</t>
  </si>
  <si>
    <t>Laranjas</t>
  </si>
  <si>
    <t>Bananas</t>
  </si>
  <si>
    <t>Limões</t>
  </si>
  <si>
    <t>Item</t>
  </si>
  <si>
    <t>Pão</t>
  </si>
  <si>
    <t>Dónutes</t>
  </si>
  <si>
    <t>Bolachas</t>
  </si>
  <si>
    <t>Bolos</t>
  </si>
  <si>
    <t>Tartes</t>
  </si>
  <si>
    <t>Tabela</t>
  </si>
  <si>
    <t>Montante</t>
  </si>
  <si>
    <t>Total:</t>
  </si>
  <si>
    <t>Carne</t>
  </si>
  <si>
    <t>Carne de Vaca</t>
  </si>
  <si>
    <t>Frango</t>
  </si>
  <si>
    <t>Porco</t>
  </si>
  <si>
    <t>Peixe</t>
  </si>
  <si>
    <t>Carros</t>
  </si>
  <si>
    <t>Camiões</t>
  </si>
  <si>
    <t>Bicicletas</t>
  </si>
  <si>
    <t>Skates</t>
  </si>
  <si>
    <t>Poupar tempo ao preencher células automaticamente</t>
  </si>
  <si>
    <t>Eis como utilizar a funcionalidade de preenchimento no Excel:</t>
  </si>
  <si>
    <t>As células C3 a G7 contêm dados com cinco colunas: A coluna "Isto:", que contém o número 50 em cada célula; a coluna "Mais isto:", que contém os números 50, 60, 70 e 80; a coluna "É igual a:", com a célula E4 que contém a soma das células C4 e D4; a coluna "Mais isto:", que contém o número 75 em cada célula; e a coluna "É igual a:" com a célula G4 que contém a soma das células E4 e F4.</t>
  </si>
  <si>
    <t xml:space="preserve">Aceda à célula E4. Prima Ctrl+B, escreva E4 e, em seguida, prima Enter. </t>
  </si>
  <si>
    <t>Selecione as células E4, E5, E6 e E7, ao premir a tecla Shift enquanto prime a tecla Seta Para Baixo e, em seguida, prima Ctrl+D. O Excel preenche automaticamente as células com os totais: 110, 120 e 130. A isto chamamos "preencher para baixo".</t>
  </si>
  <si>
    <t>PONTOS EXTRA: Aceda à célula G4 e repita os passos de preenchimento para baixo indicados acima.</t>
  </si>
  <si>
    <t>As células C10 a G14 contêm dados com cinco colunas. Estas colunas contêm o cabeçalho de C3 a G3 e os valores das células C4 a G7 depois de executar os passos nas células A5 e A6.</t>
  </si>
  <si>
    <t>Aceda à célula C15. Selecione as células C15, D15, E15, F15 e G15. Desta vez, prima Ctrl+R para preencher as células. Isto é conhecido como "preencher para a direita".</t>
  </si>
  <si>
    <t>Utilizar a alça de preenchimento para copiar células</t>
  </si>
  <si>
    <t>Por vezes não precisa que os números sejam alterados à medida que preenche. Em vez disso, só quer copiar valores para outras células adjacentes. Eis como fazê-lo:</t>
  </si>
  <si>
    <t xml:space="preserve">As células C33 a F37 contêm quatro colunas: Departamento, Categoria, Produto e Contagem. </t>
  </si>
  <si>
    <t>Aceda à célula C34. Selecione C34, C35, C36, C37 e prima Ctrl+D. O valor na C34 é preenchido para baixo para as células selecionadas.</t>
  </si>
  <si>
    <t>Preencher uma fórmula para baixo em células adjacentes</t>
  </si>
  <si>
    <t>Isto:</t>
  </si>
  <si>
    <t>Depart.</t>
  </si>
  <si>
    <t>Prod. Agrícolas</t>
  </si>
  <si>
    <t>Semana 1</t>
  </si>
  <si>
    <t>Intervalos</t>
  </si>
  <si>
    <t>Mais isto:</t>
  </si>
  <si>
    <t>Categoria</t>
  </si>
  <si>
    <t>Jan</t>
  </si>
  <si>
    <t>É igual a:</t>
  </si>
  <si>
    <t>Produto</t>
  </si>
  <si>
    <t>Maçã</t>
  </si>
  <si>
    <t>Laranja</t>
  </si>
  <si>
    <t>Banana</t>
  </si>
  <si>
    <t>Peras</t>
  </si>
  <si>
    <t>Contagem</t>
  </si>
  <si>
    <t>Trim 1</t>
  </si>
  <si>
    <t>Tem demasiados dados numa só coluna? Divida-os.</t>
  </si>
  <si>
    <t>Aceda à célula D5. Prima Ctrl+B, escreva D5 e, em seguida, prima Enter. Escreva o nome próprio que se encontra na coluna E-mail na célula C5: Margarida.</t>
  </si>
  <si>
    <t>Aceda à célula D6. Prima Ctrl+E, um atalho para a Pré-visualização da Conclusão Automática.</t>
  </si>
  <si>
    <t xml:space="preserve">A Pré-visualização da Conclusão Automática deteta quando escreve um padrão consistente e preenche as células assim que o padrão é detetado. </t>
  </si>
  <si>
    <t>Também pode utilizar a Pré-visualização da Conclusão Automática de outra forma: Aceda à célula E5.</t>
  </si>
  <si>
    <t>Dividir uma coluna com base em delimitadores.</t>
  </si>
  <si>
    <t>A funcionalidade Pré-visualização da Conclusão Automática é muito útil. No entanto, se quiser dividir os dados em mais do que uma coluna ao mesmo tempo, esta não é a melhor ferramenta. Experimente a funcionalidade Texto para Colunas nesta situação:</t>
  </si>
  <si>
    <t>Prima Alt+S para aceder ao separador Dados no friso e, em seguida, prima C para selecionar Texto Para Colunas na secção Ferramentas de Dados. O assistente Converter Texto Para Colunas – Passo 1 de 3 é apresentado. Certifique-se de que o botão de opção Delimitado está selecionado e, em seguida, prima Enter. Utilize a Tecla de Tabulação para navegar pela caixa de diálogo.</t>
  </si>
  <si>
    <t>Assistente Converter Texto Para Colunas – Passo 2 de 3: prima a Tecla de Tabulação para localizar a opção Vírgula em Delimitadores. Certifique-se de que Vírgula é a única caixa de verificação selecionada e, em seguida, prima a Tecla de Tabulação para selecionar Seguinte e prima Enter.</t>
  </si>
  <si>
    <t xml:space="preserve">Assistente Converter Texto Para Colunas – Passo 3 de 3: prima a Tecla de Tabulação e selecione apenas a opção Geral. </t>
  </si>
  <si>
    <t>Por fim, prima a Tecla de Tabulação até aceder à caixa de texto Destino. Escreva $D$32 e, em seguida, prima Enter.</t>
  </si>
  <si>
    <t>PARA EXPLORAR: Existe outra forma de trabalhar com dados. Pode consultar uma origem externa e dividir os dados daí provenientes. Só tem de o fazer uma vez e os dados serão sempre atualizados e fáceis de utilizar a partir daí. Ficou curioso? Selecione o separador Dados (ALT + S) e, em seguida, explore as opções na área Obter e Transformar (prima uma das seguintes opções: PN, FT, FW, PT, PR ou X). Em alternativa, aceda à célula A80 para obter mais informações na Web.</t>
  </si>
  <si>
    <t>Dividir uma coluna com fórmulas</t>
  </si>
  <si>
    <t xml:space="preserve">A função ESQUERDA extrai um número especificado de carateres do lado esquerdo da célula C56.
</t>
  </si>
  <si>
    <t xml:space="preserve">A função LOCALIZAR é utilizada para determinar o número de carateres a extrair. Eis como funciona a função LOCALIZAR: localize o número da posição do caráter do primeiro espaço na célula C56. Em seguida, subtraia 1 para excluir o próprio espaço
</t>
  </si>
  <si>
    <t>O resultado é Yvonne.</t>
  </si>
  <si>
    <t xml:space="preserve">Também criámos uma [Coluna de ajuda]. Isto serviu apenas para "ajudar" a extrair o restante texto na célula. É suposto ser temporária e algo que pode ocultar mais tarde. </t>
  </si>
  <si>
    <t xml:space="preserve">Selecione a célula F56: Silva Andrade na [Coluna de ajuda]. Verá que utilizámos as funções DIREITA, NÚM.CARAT e LOCALIZAR para extrair os caracteres a partir do primeiro espaço na célula C56 até ao fim da célula. </t>
  </si>
  <si>
    <t>A função DIREITA extrai um número especificado de caracteres do lado direito da célula C56.</t>
  </si>
  <si>
    <t xml:space="preserve">Neste caso, a função NÚM.CARÁT é utilizada para determinar o número de carateres a extrair. Eis como funciona a função NÚM.CARÁT: Conte o número de carateres na célula C56 e subtraia o número de carateres da função Localizar, que calcula o número da posição do caráter do primeiro espaço na célula C56 e devolve o número de carateres até o espaço. </t>
  </si>
  <si>
    <t>O resultado é Silva Andrade.</t>
  </si>
  <si>
    <t>Dividir texto em colunas diferentes</t>
  </si>
  <si>
    <t xml:space="preserve">Tudo sobre a funcionalidade Obter e Transformar </t>
  </si>
  <si>
    <t>Tudo sobre a função ESQUERDA</t>
  </si>
  <si>
    <t>Tudo sobre a função DIREITA</t>
  </si>
  <si>
    <t>Tudo sobre a função LOCALIZAR</t>
  </si>
  <si>
    <t>Tudo sobre a função NÚM.CARAT</t>
  </si>
  <si>
    <t>E-mail</t>
  </si>
  <si>
    <t>Margarida.Gouveia@contoso.com</t>
  </si>
  <si>
    <t>Samuel.Ferreira@fabrikam.com</t>
  </si>
  <si>
    <t>Adriana.Mota@relecloud.com</t>
  </si>
  <si>
    <t>Eduarda.Almeida@contoso.com</t>
  </si>
  <si>
    <t>Dados</t>
  </si>
  <si>
    <t>Margarida,Gouveia,Contoso Lda.</t>
  </si>
  <si>
    <t>Samuel,Ferreira,Fabrikam Inc.</t>
  </si>
  <si>
    <t>Adriana,Mota,Relecloud</t>
  </si>
  <si>
    <t>Eduarda,Almeida,Contoso Lda.</t>
  </si>
  <si>
    <t>Tiago,Ribeiro,Relecloud</t>
  </si>
  <si>
    <t>Afonso,Faria,Fabrikam Inc.</t>
  </si>
  <si>
    <t>André,Barbosa,Relecloud</t>
  </si>
  <si>
    <t>Yvonne,McKay,Contoso Lda.</t>
  </si>
  <si>
    <t>Escreva um nome dentro de uma célula</t>
  </si>
  <si>
    <t>Yvonne Francis McKay</t>
  </si>
  <si>
    <t>Nome próprio</t>
  </si>
  <si>
    <t>Apelido</t>
  </si>
  <si>
    <t>Gouveia</t>
  </si>
  <si>
    <t>Nome da empresa</t>
  </si>
  <si>
    <t>[Coluna de ajuda]</t>
  </si>
  <si>
    <t>Segundo nome</t>
  </si>
  <si>
    <t>Alterar dados ao transpô-los</t>
  </si>
  <si>
    <t>Quando for necessário rodar colunas e linhas, transponha-as no Excel.</t>
  </si>
  <si>
    <t>Agora copie as células. Prima Ctrl+C.</t>
  </si>
  <si>
    <t>Selecione a célula C9.</t>
  </si>
  <si>
    <t>Prima a Tecla de Tabulação até encontrar a opção Transpor. Prima a Barra de Espaço para selecionar Transpor e, em seguida, prima Enter.</t>
  </si>
  <si>
    <t xml:space="preserve">SUGESTÃO INTELIGENTE: O atalho de teclado da opção Colar Especial é Ctrl+Alt+V. 
</t>
  </si>
  <si>
    <t>Transpor com uma fórmula</t>
  </si>
  <si>
    <t>Por vezes, não quer copiar e colar para transpor. Neste caso, pode utilizar uma fórmula para transpor linhas e colunas. Eis como fazê-lo:</t>
  </si>
  <si>
    <t xml:space="preserve">Para transpor estes dados, tem de selecionar primeiro algumas células em branco. Uma vez que os dados nas células C33 a H34 à direita têm seis colunas e duas linhas, precisa de selecionar o oposto: duas colunas e seis linhas. Faça-o ao selecionar as células C40 a D45. </t>
  </si>
  <si>
    <t>Selecione uma das células transpostas, por exemplo, a célula C41. Observe a fórmula na parte superior do Excel. Verá que a fórmula tem o seguinte aspeto: {=TRANSPOR(C33:H34)}</t>
  </si>
  <si>
    <t xml:space="preserve">Selecione outra célula transposta das células C40 a D45, por exemplo, a célula D43. Observe a barra de fórmulas novamente. A fórmula é igual à utilizada na célula C41. Porquê? Porque se trata de uma fórmula de matriz.
</t>
  </si>
  <si>
    <t>O que é uma fórmula de matriz?</t>
  </si>
  <si>
    <t>Uma fórmula de matriz pode executar cálculos em mais do que uma célula numa matriz. No exemplo acima, a matriz é o conjunto de dados original: as células C33:H34. A função TRANSPOR muda a orientação horizontal das células para uma orientação vertical. </t>
  </si>
  <si>
    <t xml:space="preserve">Uma fórmula de matriz é sempre concluída com CTRL+SHIFT+ENTER, não apenas ENTER. Ao premir CTRL+SHIFT+ENTER, calcula a função de matriz. Quando tiver terminado, o Excel coloca chavetas especiais { } à volta da fórmula. Estas chavetas são uma ajuda visual e indicam que a célula selecionada faz parte de uma fórmula de matriz. Estes parênteses retos não podem ser escritos por si. O Excel coloca-os automaticamente quando prime Ctrl+Shift+Enter. </t>
  </si>
  <si>
    <t>TENHA EM ATENÇÃO...
Existem três aspetos a ter em conta quando utiliza uma fórmula de matriz: 
1) Selecione sempre múltiplas células primeiro e, em seguida, com essas células selecionadas, comece a escrever a fórmula de matriz. Isso é essencial: Selecione múltiplas células primeiro e, em seguida, comece a escrever.
2) Quando terminar de escrever uma fórmula de matriz, prima Ctrl+Shift+Enter.
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t>
  </si>
  <si>
    <t xml:space="preserve">EXPLICAÇÃO DO EXCEL: como as fórmulas de matriz exigem que prima Ctrl+Shift+Enter, algumas pessoas chamam informalmente as fórmulas de matriz "Fórmulas CSE". 
</t>
  </si>
  <si>
    <t>Aceda à célula A72 para obter a instrução seguinte.</t>
  </si>
  <si>
    <t>Transpor (rodar) dados de linhas para colunas ou vice-versa</t>
  </si>
  <si>
    <t>Tudo sobre a função TRANSPOR</t>
  </si>
  <si>
    <t>Criar uma fórmula de matriz</t>
  </si>
  <si>
    <t xml:space="preserve"> para avançar para o passo seguinte</t>
  </si>
  <si>
    <t>Ordenar e filtrar facilmente</t>
  </si>
  <si>
    <t>Os botões da opção Filtrar aparecem na linha superior das células C5 a G5. Aceda à célula Departamento, C5, prima Alt+Seta Para Baixo e, em seguida, Seta Para Baixo e Barra de Espaço para desmarcar a caixa de verificação Selecionar Tudo. Em seguida, utilize as teclas de seta para localizar Padaria, prima a Barra de Espaço e, em seguida, prima Enter.</t>
  </si>
  <si>
    <t xml:space="preserve">PONTOS EXTRA: Experimente ordenar duas colunas por ordem alfabética. Eis como fazê-lo: Primeiro ordene Departamento por ordem alfabética (consulte os passos na célula A3 acima). Em seguida, selecione o separador Base e as opções Ordenar e Filtrar. Localize Ordenação Personalizada e adicione um segundo nível para Categoria. Após selecionar OK, a coluna Departamento é ordenada, e em cada departamento, as linhas da coluna Categoria também são ordenadas por ordem alfabética </t>
  </si>
  <si>
    <t>Ordenar por data ou até por cor</t>
  </si>
  <si>
    <t>Existem várias formas de ordenar no Excel. Eis mais duas formas de ordenar:</t>
  </si>
  <si>
    <t>Quer as datas das despesas por ordem. Para isso, selecione o cabeçalho Data da despesa, célula C31 e, em seguida, prima Alt+Seta Para Baixo e utilize as teclas de seta para localizar a opção Ordenar do mais Antigo ao mais Recente. Prima Enter. As linhas são ordenadas por ordem de data ascendente pela Data da despesa.</t>
  </si>
  <si>
    <t>Três células já estão preenchidas a amarelo. Pode ordenar as linhas por essa cor. Aceda à célula F31 e, em seguida, prima Alt+Seta Para Baixo e utilize as teclas de seta para localizar a opção Ordenar Por Cor. Prima a Seta Para a Direita para selecionar a cor de realce "amarelo", cor RGB 255, 255, 0 e, em seguida, prima Enter. As células realçadas são ordenadas automaticamente para a parte superior da coluna.</t>
  </si>
  <si>
    <t xml:space="preserve">DETALHE IMPORTANTE: Não pode remover uma ordenação como faz com um filtro. Por isso, se não quiser deixar a sua ordenação, pode anulá-la ao premir Ctrl+Z.
</t>
  </si>
  <si>
    <t>Mais formas de filtrar dados</t>
  </si>
  <si>
    <t xml:space="preserve">Aceda à célula F49: Hotel. Prima Alt+Seta Para Baixo e, em seguida, utilize as teclas de seta para localizar a opção Filtros Numéricos. Prima a tecla Seta Para a Direita para aceder à lista Filtros Numéricos e utilize as teclas de seta para localizar a opção Acima da Média e, em seguida, prima Enter. O Excel calcula o montante médio da coluna Hotel e, em seguida, mostra apenas as linhas com montantes superiores à média. </t>
  </si>
  <si>
    <t>Departamento</t>
  </si>
  <si>
    <t>Padaria</t>
  </si>
  <si>
    <t>Take-away</t>
  </si>
  <si>
    <t>Data da despesa</t>
  </si>
  <si>
    <t>Sobremesas</t>
  </si>
  <si>
    <t>Vegetais</t>
  </si>
  <si>
    <t>Saladas</t>
  </si>
  <si>
    <t>Pães</t>
  </si>
  <si>
    <t>Sanduíches</t>
  </si>
  <si>
    <t>Funcionário</t>
  </si>
  <si>
    <t>Mariana</t>
  </si>
  <si>
    <t>Paulo</t>
  </si>
  <si>
    <t>Filipe</t>
  </si>
  <si>
    <t>Bárbara</t>
  </si>
  <si>
    <t>Mateus</t>
  </si>
  <si>
    <t>Camila</t>
  </si>
  <si>
    <t>Out</t>
  </si>
  <si>
    <t>Comida</t>
  </si>
  <si>
    <t>Nov</t>
  </si>
  <si>
    <t>Hotel</t>
  </si>
  <si>
    <t>Dez</t>
  </si>
  <si>
    <t>As tabelas tornam tudo muito mais fácil</t>
  </si>
  <si>
    <t>Uma tabela dá-lhe funcionalidades especiais e outras vantagens. Eis como criar uma:</t>
  </si>
  <si>
    <t>As células C5 a G13 contêm dados. Aceda a qualquer célula nessa região, por exemplo, a célula D8. Prima Ctrl+B, escreva D8 e, em seguida, prima Enter.</t>
  </si>
  <si>
    <t>Agora tem uma tabela, que consiste numa coleção de células com funcionalidades especiais. Para começar: uma tabela apresenta linhas listadas para uma leitura mais fácil.</t>
  </si>
  <si>
    <t xml:space="preserve">Também pode criar novas linhas facilmente. Aceda à célula vazia abaixo da célula C13: Carne. Escreva algum texto e, em seguida, prima Enter. É apresentada uma nova linha para a tabela. </t>
  </si>
  <si>
    <t>Também é possível criar colunas facilmente: aceda a qualquer célula entre H5 e H14, por exemplo, H10. Escreva algum texto e, em seguida, prima Enter. É apresentada uma nova coluna para a tabela. Repita o processo para adicionar uma nova coluna na coluna I.</t>
  </si>
  <si>
    <t>Repare como as duas colunas são criadas, formatadas, e o texto Jan e Fev é preenchido automaticamente nas células H5 e I5.</t>
  </si>
  <si>
    <t>Colunas calculadas em tabelas</t>
  </si>
  <si>
    <t>Um exemplo de uma vantagem das tabelas: colunas calculadas. Quando escreve uma fórmula, ela é preenchida automaticamente para baixo. Eis como funciona:</t>
  </si>
  <si>
    <t>As células C33 a H41 contêm dados com seis colunas: Departamento, Categoria, Out, Nov, Dez e Total.</t>
  </si>
  <si>
    <t>Aceda à célula H34: Total.</t>
  </si>
  <si>
    <t>Prima Alt+= e, em seguida, prima Enter.</t>
  </si>
  <si>
    <t xml:space="preserve">A fórmula SOMA é preenchida automaticamente para baixo para que não tenha de o fazer. </t>
  </si>
  <si>
    <t>Aceda à célula A47 para obter a instrução seguinte.</t>
  </si>
  <si>
    <t>Linhas de total em tabelas</t>
  </si>
  <si>
    <t>Outra vantagem das tabelas são as linhas de total. Em vez de escrever uma fórmula SOMA, o Excel pode obter esse total por si rapidamente. O mesmo acontece com a fórmula MÉDIA e muitas outras. Eis como funciona:</t>
  </si>
  <si>
    <t>As células C53 a E61 contêm dados com três colunas: Departamento, Categoria e Vendas.</t>
  </si>
  <si>
    <t>Aceda a qualquer célula no intervalo acima, por exemplo, a célula D57.</t>
  </si>
  <si>
    <t>É adicionada uma nova linha na parte inferior da tabela nas células C62 a E62.</t>
  </si>
  <si>
    <t xml:space="preserve">O total de 24 000 € é adicionado à linha de total na célula E62. </t>
  </si>
  <si>
    <t>E se quiser saber a média? Selecione a célula E62: 24 000 €</t>
  </si>
  <si>
    <t>Prima Alt+Seta Para Baixo e, em seguida, utilize as teclas de seta para localizar a opção Média e prima Enter. O montante médio de 3000 € é apresentado.</t>
  </si>
  <si>
    <t xml:space="preserve">INFORMAÇÕES ÚTEIS: Existe um atalho para mostrar e ocultar a linha de total. Selecione a tabela e, em seguida, prima Ctrl+Shift+T.
</t>
  </si>
  <si>
    <t>Descrição geral das tabelas do Excel</t>
  </si>
  <si>
    <t>Utilizar colunas calculadas numa tabela do Excel</t>
  </si>
  <si>
    <t xml:space="preserve"> Prima Ctrl+Page Down.</t>
  </si>
  <si>
    <t>Sanduíche</t>
  </si>
  <si>
    <t>Vendas</t>
  </si>
  <si>
    <t>Total</t>
  </si>
  <si>
    <t>Inserir uma lista pendente</t>
  </si>
  <si>
    <t xml:space="preserve">As listas pendentes facilitam a introdução de dados pelas pessoas. Eis como criar uma: </t>
  </si>
  <si>
    <t>As células C3 a D15 contêm dados com duas colunas: Comida e Departamento.</t>
  </si>
  <si>
    <t>Queremos que apenas três nomes de departamento sejam entradas válidas para cada tipo de comida à direita. Esses departamentos são Prod. Agrícolas, Carne e Padaria.</t>
  </si>
  <si>
    <t>Aceda à célula D4. Prima Ctrl+B, escreva D4 e, em seguida, prima Enter. Selecione todas as células de D4 a D15.</t>
  </si>
  <si>
    <t>Na caixa de texto Origem, escreva Prod. Agrícolas, Carne e Padaria. Certifique-se de que coloca vírgulas entre cada nome. Quando terminar, prima Enter.</t>
  </si>
  <si>
    <t>Agora, selecione a célula D4, que é a célula junto a Maçãs na célula C4. Prima Alt+Seta Para Baixo. Verá um menu pendente com os três itens que adicionou: Prod. Agrícolas, Carne e Padaria.</t>
  </si>
  <si>
    <t>Práticas recomendadas para listas pendentes: Utilize uma tabela.</t>
  </si>
  <si>
    <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t>
  </si>
  <si>
    <t>As células C31 a D43 contêm dados com duas colunas: Comida e Departamento. As células F31 a F34 contêm dados com uma coluna: Departamento.</t>
  </si>
  <si>
    <t xml:space="preserve">Selecione uma célula com um departamento de F31 a F34. Por exemplo, selecione a célula F33: Carne. </t>
  </si>
  <si>
    <t>Agora configure a validação de dados novamente. Abaixo da célula D31: Departamento, selecione todas as células em branco de D32 a D43.</t>
  </si>
  <si>
    <t>Na caixa de texto Origem, escreva =$F$32:$F$34 e, em seguida, prima Enter.</t>
  </si>
  <si>
    <t>Selecione os valores numa única coluna começando na célula F31: Departamento.</t>
  </si>
  <si>
    <t>Agora, aceda à célula D32 e prima Alt+Seta Para Baixo. Existem apenas três departamentos na lista pendente: Prod. Agrícolas, Carne e Padaria. No entanto, se adicionar um departamento novo na coluna F abaixo da célula F35: Padaria, esta lista será atualizada com o novo departamento. Experimente.</t>
  </si>
  <si>
    <t xml:space="preserve">SUGESTÃO AVANÇADA: Muitas vezes, as pessoas colocam as suas listas de validação noutra folha. Desta forma, evitamos que os outros utilizadores alterem a lista.
</t>
  </si>
  <si>
    <t>Aplicar validação de dados a células</t>
  </si>
  <si>
    <t>Criar uma lista pendente</t>
  </si>
  <si>
    <t>Brócolos</t>
  </si>
  <si>
    <t>Couve</t>
  </si>
  <si>
    <t>Fiambre</t>
  </si>
  <si>
    <t>Analisar dados rapidamente</t>
  </si>
  <si>
    <t>Eis como analisar dados para poder encontrar padrões e tendências rapidamente:</t>
  </si>
  <si>
    <t>As células C5 a G13 contêm dados em cinco colunas: Departamento, Categoria, Out, Nov e Dez.</t>
  </si>
  <si>
    <t>Aceda a uma célula na tabela entre células C5 a G13, ,por exemplo, aceda à célula E9 e, em seguida, prima Ctrl+Q. É apresentado o painel Análise Rápida.</t>
  </si>
  <si>
    <t>Prima a Tecla de Tabulação para introduzir opções de formatação e, em seguida, prima Enter para selecionar Barras de Dados.</t>
  </si>
  <si>
    <t>As células abaixo das colunas Out, Nov e Dez, células E6 a G13, obtêm barras de dados especiais que apresentam os seus montantes.</t>
  </si>
  <si>
    <t>Agora imaginemos que pretende eliminar as barras de dados. Selecione o intervalo de células inteiro de C5 a G13 e, em seguida, prima Ctrl+Q para apresentar novamente o painel Análise Rápida.</t>
  </si>
  <si>
    <t>Prima a Tecla de Tabulação para introduzir opções de Formatação e, em seguida, prima a Seta Para a Direita para localizar Limpar... e, em seguida, prima Enter.</t>
  </si>
  <si>
    <t xml:space="preserve">INFORMAÇÕES ÚTEIS: Quando selecionar células, este botão de Análise Rápida é apresentado. O nome é adequado, não é? Pode aceder sempre ao botão através do atalho de teclado: Crtl+Q. Se tiver dúvidas acerca dos dados selecionados, selecione esta opção e veja se lhe dá algumas respostas. </t>
  </si>
  <si>
    <t>Criar rapidamente um gráfico</t>
  </si>
  <si>
    <t>Pode utilizar sempre o separador Inserir e criar um gráfico. No entanto, existe outra forma de criar um gráfico, com a opção Análise Rápida. Agora vamos utilizar o atalho de teclado:</t>
  </si>
  <si>
    <t>As células C34 a G42 contêm dados com cinco colunas: Departamento, Categoria, Out, Nov e Dez.</t>
  </si>
  <si>
    <t>Aceda a uma célula na tabela entre as células C34 e G42, por exemplo, aceda à célula D38 e, em seguida, prima Ctrl+Q.</t>
  </si>
  <si>
    <t>O painel Análise Rápida é apresentado. Prima Seta Para a Direita até localizar Gráficos.</t>
  </si>
  <si>
    <t>Prima a Tecla de Tabulação para aceder às opções de Gráficos e prima Enter para selecionar Colunas...</t>
  </si>
  <si>
    <t>Um novo gráfico de colunas agrupadas é apresentado e encontra-se selecionado. Utilize as teclas de seta para movê-lo para o local que pretende. No gráfico, cada produto tem três colunas, uma para cada mês de vendas: Out, Nov e Dez.</t>
  </si>
  <si>
    <t>Criar rapidamente gráficos sparkline</t>
  </si>
  <si>
    <t>Imaginemos que pretende que as linhas de tendência à direita destes dados mostrem como os montantes aumentaram ou diminuíram durante os três meses. Não tem de fazer oito pequenos gráficos de linhas. Em vez disso, pode criar gráficos sparkline.</t>
  </si>
  <si>
    <t>As células C54 a G62 contêm dados com cinco colunas: Departamento, Categoria, Out, Nov e Dez.</t>
  </si>
  <si>
    <t>Aceda a uma célula na tabela entre as células C55 e G62 e, em seguida, prima Ctrl+Q.</t>
  </si>
  <si>
    <t>No painel Análise Rápida apresentado, prima a tecla Seta Para a Direita até localizar Gráficos Sparkline e, em seguida, prima a Tecla de Tabulação para selecionar a opção Linha. Prima Enter para adicionar Gráficos Sparkline à tabela.</t>
  </si>
  <si>
    <t>Os Gráficos Sparkline são apresentados à direita da coluna Dez nas células H55 a H62. Cada linha representa os dados dessa linha e mostra se os montantes aumentaram ou diminuíram.</t>
  </si>
  <si>
    <t>Aceda à célula A68 para obter a instrução seguinte.</t>
  </si>
  <si>
    <t>Analisar os seus dados instantaneamente</t>
  </si>
  <si>
    <t>Gráficos fantásticos, recomendados para si</t>
  </si>
  <si>
    <t>As células C5 a D11 contêm dados com duas colunas: Ano e Número de participantes.</t>
  </si>
  <si>
    <t>Aceda a qualquer célula na tabela entre as células C5 e D11, por exemplo, aceda à célula C6. Prima Ctrl+B, escreva C6 e, em seguida, prima Enter.</t>
  </si>
  <si>
    <t>Agora, prima Alt+W para aceder ao separador Inserir no friso. Prima U para apresentar as opções de Gráficos Recomendados.</t>
  </si>
  <si>
    <t>Serão apresentadas várias recomendações. Prima a Tecla de Tabulação para aceder à lista e utilize as teclas de seta para localizar a opção denominada Colunas Agrupadas e, em seguida, prima Enter.</t>
  </si>
  <si>
    <t>É apresentado um gráfico de colunas a mostrar o número total de participantes na conferência por ano. Utilize as teclas de seta para mover o gráfico para onde quiser.</t>
  </si>
  <si>
    <t>Prima D para Adicionar Elemento de Gráfico e, em seguida, prima a tecla Seta Para Baixo para localizar a opção Linha de Tendência. Prima a tecla Seta Para a Direita para abrir as opções de Linha de Tendência e, em seguida, a tecla Seta Para Baixo para navegar para a opção Linear e, em seguida, prima Enter. Agora tem uma linha de tendência que mostra a direção geral das unidades vendidas ao longo do tempo.</t>
  </si>
  <si>
    <t>Eixos horizontal e vertical</t>
  </si>
  <si>
    <t xml:space="preserve">Na escola, poderá ter aprendido que existe um eixo x e um eixo y. O Excel também tem estes dois eixos, mas com nomes diferentes. </t>
  </si>
  <si>
    <t>No Excel são denominados da seguinte forma:</t>
  </si>
  <si>
    <t xml:space="preserve">• O eixo x na parte inferior é denominado eixo horizontal. </t>
  </si>
  <si>
    <t xml:space="preserve">• O eixo que vai para cima e para baixo é denominado eixo vertical. </t>
  </si>
  <si>
    <t xml:space="preserve">Cada eixo pode ser um eixo de valores ou um eixo de categoria. </t>
  </si>
  <si>
    <t xml:space="preserve">• Um eixo de valores representa valores numéricos. Por exemplo, um eixo de valores pode representar euros, horas, duração, temperatura e assim sucessivamente. O eixo vertical no gráfico à direita, que começa na célula D30 é um eixo de valores. </t>
  </si>
  <si>
    <t xml:space="preserve">• Um eixo de categoria representa coisas como datas, nomes de pessoas, nomes de produtos. O eixo horizontal no gráfico à direita (que começa na célula D30) tem anos, pelo que se trata de um eixo de categoria. </t>
  </si>
  <si>
    <t>Aceda à célula A52 para obter a instrução seguinte.</t>
  </si>
  <si>
    <t>Eixo secundário</t>
  </si>
  <si>
    <t>Também pode utilizar um eixo secundário num gráfico. Um eixo secundário é um eixo de valores adicional que pode apresentar valores diferentes do outro eixo de valores.</t>
  </si>
  <si>
    <t>Um exemplo comum encontra-se no gráfico à direita, começando na célula D52. É o mesmo que o gráfico acima, mas tem um eixo vertical secundário adicional que representa os valores de vendas de cada mês. Pode dizer-se que, ao ter um eixo secundário, quase temos "dois gráficos num só". Isso é verdade. Este gráfico é um gráfico de colunas e um gráfico de linhas. Estes tipos de gráficos são denominados Gráficos de Combinação no Excel. Se estiver interessado neste tipo de gráfico, selecione a hiperligação na célula A70.</t>
  </si>
  <si>
    <t>Criar um gráfico de combinação com um eixo secundário</t>
  </si>
  <si>
    <t>Tipos de gráficos disponíveis no Office</t>
  </si>
  <si>
    <t>Ano</t>
  </si>
  <si>
    <t>Número de participantes</t>
  </si>
  <si>
    <t>Data</t>
  </si>
  <si>
    <t>Resumir os dados com tabelas dinâmicas</t>
  </si>
  <si>
    <t>As células C3 a F9 contêm dados com quatro colunas: Data, Vendedor, Produto e Montante.</t>
  </si>
  <si>
    <t>Observe as colunas Data, Vendedor, Produto e Montante. Consegue identificar rapidamente qual é o produto mais lucrativo ou o principal vendedor? É nisto que a tabela dinâmica nas células E11 a F15 pode ser útil.</t>
  </si>
  <si>
    <t xml:space="preserve">Quando criámos a tabela dinâmica, clicámos em alguns botões para que os dados pudessem ser resumidos. Agora sabemos qual é o produto mais lucrativo. </t>
  </si>
  <si>
    <t xml:space="preserve">Em seguida, irá utilizar os dados na tabela dinâmica para saber qual é o principal vendedor. Prima Ctrl+G, escreva E12 e, em seguida, prima Enter. A sua seleção está agora dentro da tabela dinâmica. </t>
  </si>
  <si>
    <t>Agora, prima a tecla de Tabulação até aceder à lista de categorias: Data, Vendedor, Produto e Montante. Use as setas para encontrar a caixa de verificação do Vendedor. Prima a barra de espaço para adicionar o campo Vendedor. Depois, prima Shift+F6 até aceder à tabela PivotTableSample. Em seguida, passe para a célula F12. Anne é a maior vendedora com 2150.</t>
  </si>
  <si>
    <t>Criar uma tabela dinâmica</t>
  </si>
  <si>
    <t>Agora terá de criar uma tabela dinâmica manualmente para saber como se faz quando precisar de resumir dados.</t>
  </si>
  <si>
    <t>As células C34 a F40 contêm dados com quatro colunas: Data, Vendedor, Produto e Montante.</t>
  </si>
  <si>
    <t>A caixa de diálogo Criar Tabela Dinâmica é apresentada. O foco encontra-se em Selecionar uma tabela ou intervalo. Deixe esta opção selecionada e prima a Tecla de Tabulação para escolher onde pretende que o relatório da tabela dinâmica seja colocado. A opção predefinida está selecionada: Nova Folha de Cálculo. Prima a tecla Seta Para Baixo para selecionar Folha de Cálculo Existente. Prima a Tecla de Tabulação para aceder à caixa de texto Localização e escreva C42 e, em seguida, prima Enter.</t>
  </si>
  <si>
    <t xml:space="preserve">O painel Campos da Tabela Dinâmica é apresentado à direita. Prima Shift+F6 até aceder à caixa de texto Procurar: Escreva palavras para procurar o que pretende editar. </t>
  </si>
  <si>
    <t>Prima a Tecla de Tabulação para aceder à lista de categorias. Prima a tecla Seta Para Baixo para localizar a caixa de verificação Produto. Prima a Barra de Espaço para selecionar Produto.
Quando o fizer, o campo Produto é adicionado à área Linhas na parte inferior do painel. Os dados de produto são apresentados como Etiquetas de linha na nova tabela dinâmica.</t>
  </si>
  <si>
    <t xml:space="preserve">Prima a tecla Seta Para Baixo para localizar a caixa de verificação Montante. 
Quando o fizer, o campo Montante será adicionado à área Valores na parte inferior do painel. Ao mesmo tempo, é calculado o total dos montantes para cada produto na tabela dinâmica.
</t>
  </si>
  <si>
    <t>Parabéns, criou uma tabela dinâmica. No entanto, ainda pode fazer muitas outras coisas. Por isso, aceda à célula A60, se quiser saber mais.</t>
  </si>
  <si>
    <t>Aceda à célula A58 para obter a instrução seguinte.</t>
  </si>
  <si>
    <t>Vendedor</t>
  </si>
  <si>
    <t>Beatriz</t>
  </si>
  <si>
    <t>Eduarda</t>
  </si>
  <si>
    <t>Cerveja</t>
  </si>
  <si>
    <t>Vinho</t>
  </si>
  <si>
    <t>Refrigerante</t>
  </si>
  <si>
    <t>Tem mais perguntas sobre o Excel?</t>
  </si>
  <si>
    <t>Prima Alt+H e escreva o que pretende saber.</t>
  </si>
  <si>
    <t>Continue. Ainda há muito mais para saber sobre o Excel:</t>
  </si>
  <si>
    <t xml:space="preserve">Comunidade: Faça perguntas e ligue-se a outros fãs do Excel.
</t>
  </si>
  <si>
    <t xml:space="preserve">Quer saber as novidades?
Os subscritores do Office 365 obtêm atualizações contínuas e novas funcionalidades.
</t>
  </si>
  <si>
    <t>Aceda à célula A69 para obter a instrução seguinte.</t>
  </si>
  <si>
    <t>Aceda à célula A81 para ir para a instrução seguinte.</t>
  </si>
  <si>
    <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em Obter mais informações na Web na célula A82. No entanto, se estiver curioso, eis como podemos dividir a célula C56.</t>
  </si>
  <si>
    <t xml:space="preserve">Selecione a célula G56: Silva. Aqui utilizámos praticamente a mesma fórmula que na célula A52, mas em vez de extrair os carateres da célula C56, extrai da célula F56. 
</t>
  </si>
  <si>
    <t xml:space="preserve">Selecione a célula H56: McKay. Esta é a mesma fórmula utilizada na célula A58, mas extrai caracteres da célula F56 em vez de extrair da célula C56. </t>
  </si>
  <si>
    <t>Eis como a fórmula "=DIREITA(C56;NÚM.CARÁT(C56)-LOCALIZAR(" ";C56))" funciona:</t>
  </si>
  <si>
    <t xml:space="preserve">As células C3 a D7 contêm dados com duas colunas. Uma para Fruta e uma para Montante. </t>
  </si>
  <si>
    <t>Eis outra forma de somar com um atalho de teclado. As células F3 a G7 contêm dados com duas colunas: Carne e Montante.</t>
  </si>
  <si>
    <t>Eis outra forma de adicionar. As células C10 a D15 têm duas colunas de dados: Item e Montante.</t>
  </si>
  <si>
    <t>PONTOS EXTRA: As células F10 a G15 contêm dados com duas colunas: Item e Montante. Aceda à célula G16. Experimente adicionar outra fórmula SOMA.SE aqui. Adicione Montantes à coluna G, nas células G11 a G15, mas adicione Montantes menores que 100. O resultado deverá ser 160.</t>
  </si>
  <si>
    <t xml:space="preserve">As células C37 a D41 contêm dados com duas colunas: Fruta e Montante. </t>
  </si>
  <si>
    <t xml:space="preserve">As células C47 a D48 contêm dados com duas colunas: Item e Montante. </t>
  </si>
  <si>
    <t xml:space="preserve">As células F47 a G51 contêm dados com duas colunas: Item e Montante. </t>
  </si>
  <si>
    <t xml:space="preserve">As células C72a D77 contêm dados com duas colunas: Item e Montante. </t>
  </si>
  <si>
    <t xml:space="preserve">As células F72 a G77 contêm dados com duas colunas: Item e Montante. </t>
  </si>
  <si>
    <t>As células C5 a H6 contêm duas linhas de Itens e Montantes. Selecione as células C5 a H6.</t>
  </si>
  <si>
    <t>As células C5 a G13 contêm cinco colunas: Departamento, Categoria e Montantes para os meses de Out, Nov, Dez.</t>
  </si>
  <si>
    <t>Preencher dados automaticamente em células de folhas de cálculo</t>
  </si>
  <si>
    <t>Aceda à célula A76 para obter a instrução seguinte.</t>
  </si>
  <si>
    <t>Aceda à célula A57 para obter a instrução seguinte.</t>
  </si>
  <si>
    <t xml:space="preserve">Este processo é mais complicado, por isso preste atenção. Com essas células selecionadas, escreva o seguinte: =TRANSPOR(C33:H34), mas não prima Enter. Em alternativa, prima Ctrl+Shift+Enter. Se obtiver um erro ou #VALOR! como resultado, tente novamente, começando na instrução na célula A32. 
</t>
  </si>
  <si>
    <t>Aceda à célula A45 para obter a instrução seguinte.</t>
  </si>
  <si>
    <t xml:space="preserve">Ordenar dados num intervalo ou numa tabela
</t>
  </si>
  <si>
    <t>Filtrar dados num intervalo ou numa tabela</t>
  </si>
  <si>
    <t>Calcular o total dos dados numa tabela do Excel</t>
  </si>
  <si>
    <t>Aceda à célula A63 para obter a instrução seguinte.</t>
  </si>
  <si>
    <t>Analisar tendências em dados através de gráficos sparkline</t>
  </si>
  <si>
    <t>Criar um gráfico do princípio ao fim</t>
  </si>
  <si>
    <t>Sum of Montante</t>
  </si>
  <si>
    <t>Criar uma tabela dinâmica para analisar os dados de uma  folha de cálculo</t>
  </si>
  <si>
    <t>Utilizar a Lista de Campos para ordenar campos numa tabela dinâmica</t>
  </si>
  <si>
    <t>A fórmula na célula D78: =SOMA.SE(D73:D77;"&gt;50").</t>
  </si>
  <si>
    <t>Prima Alt+B2 para aceder ao separador Base no friso e, em seguida, prima ER para selecionar as opções de Preenchimento. Clique na Seta para Baixo para selecionar Pré-visualização da Conclusão Automática da lista ou prima V. Agora os apelidos estão na sua própria coluna, das células E5 a E9.</t>
  </si>
  <si>
    <t xml:space="preserve">Prima Alt+B2 para aceder ao separador Base no friso e, em seguida, prima V para selecionar as opções de Colar. Prima a Seta Para Baixo ou prima S para selecionar Colar Especial. </t>
  </si>
  <si>
    <t xml:space="preserve">Imaginemos que pretende ter os departamentos por ordem alfabética. Selecione a coluna Departamento e aceda à célula C5. Prima Ctrl+B, escreva C5 e, em seguida, prima Enter. Agora prima Alt+B2 para aceder ao separador Base no friso e, em seguida, prima OR para aceder às opções Ordenar e Filtrar. Utilize as teclas de seta para localizar a opção para Ordenar de A a Z ou prima A e, em seguida, prima Enter. </t>
  </si>
  <si>
    <t xml:space="preserve">Ordene as Montantes de dezembro da maior para a mais pequena. Selecione a célula da coluna Dezembro, aceda à célula G5 e, em seguida, selecione as células G5 a G13. Prima Alt+B2 para aceder ao separador Base no friso e, em seguida, prima OR para aceder às opções Ordenar e Filtrar. Tenha em atenção que as opções mudaram de Ordenar de A a Z para Ordenar do Maior ao Mais Pequeno e assim sucessivamente. Utilize as teclas de seta para localizar a opção para Ordenar do Maior ao Mais Pequeno e, em seguida, prima Enter. </t>
  </si>
  <si>
    <t>Agora filtre os dados para que apenas as linhas de Padaria apareçam. Aceda à célula G5, Dez. Prima Ctrl+T para selecionar todas as células e, em seguida, prima Alt+B2 para aceder ao separador Base. Prima OR para introduzir as opções Ordenar e Filtrar e, em seguida, utilize as teclas de seta para localizar a opção Filtrar ou prima F.</t>
  </si>
  <si>
    <t xml:space="preserve">Aceda à célula C32. Selecione todas as células de C32 a C39: Desde Margarida até Yvonne. </t>
  </si>
  <si>
    <t>Aceda à célula A50 para obter a instrução seguinte.</t>
  </si>
  <si>
    <t xml:space="preserve">Yvonne.Andrade@fabrikam.com </t>
  </si>
  <si>
    <t>Aceda à célula E56: Yvonne. Utilizámos a função ESQUERDA para extrair os carateres do lado esquerdo da célula C56. Para especificar o número de carateres a extrair, utilizámos a função LOCALIZAR. Eis como funciona a fórmula "=ESQUERDA(C56;LOCALIZAR(" ";C56)-1)":</t>
  </si>
  <si>
    <t>As células C31 a F31 contêm dados com quatro colunas: Data da despesa, Funcionário,Comida e Hotel.</t>
  </si>
  <si>
    <t>As células C49 a F49 contêm dados com quatro colunas: Data da despesa, Funcionário,Comida e Hotel.</t>
  </si>
  <si>
    <t>Agora adicione um segundo filtro. Aceda à célula E49.Comida. Prima Alt+Seta Para Baixo e, em seguida, utilize as teclas de seta para localizar a opção Filtros Numéricos. Prima a Seta Para a Direita para aceder à lista Filtros Numéricos. Utilize as teclas de seta para localizar a opção Maior que... e, em seguida, escreva 25 e prima Enter. Para as três linhas filtradas que se encontram acima da média, o Excel mostra duas linhas com montantes deComida superiores a 25</t>
  </si>
  <si>
    <t>As células D67 a F73 contêm dados com três colunas: Data, Número de participantes e Vendas de comida. A coluna de Vendas deComida contém dados que suportam o eixo secundário do gráfico descrito acima.</t>
  </si>
  <si>
    <t xml:space="preserve">PONTOS EXTRA: Experimente fazer um gráfico de combinação. Selecione a tabela inteira da célula D67 a F73. Utilize a opção Análise Rápida, Ctrl+Q para localizar a opção Gráficos. Prima a Tecla de Tabulação para aceder às opções Gráficos e, em seguida, prima a Seta Para a Direita para selecionar Mais... As opções de Gráficos Recomendados são apresentadas. Prima a tecla Seta Para a Direita para selecionar o separador Todos os Gráficos e, em seguida, prima a tecla Seta Para Baixo até localizar a opção Combinação na parte inferior. Prima a Tecla de Tabulação duas vezes para aceder ao nome da Série: Prima a tecla Seta Para Baixo duas vezes para localizar "Vendas deComida" e, em seguida, prima a Tecla de Tabulação duas vezes para selecionar a opção Eixo Secundário. Prima a Barra de Espaço para ativar esta opção e, em seguida, prima Enter. 
</t>
  </si>
  <si>
    <t>Vendas deComida</t>
  </si>
  <si>
    <t>Prima Alt+W para aceder ao separador Inserir no friso e, em seguida, prima a tecla 2 e prima Enter. Em alternativa, prima as teclas de atalho Alt+T e, em seguida, prima Enter.</t>
  </si>
  <si>
    <t>Na parte superior da janela do Excel, o separador Estrutura das Ferramentas de Tabela será apresentado. Prima Alt+KL para aceder ao separador Estrutura no friso e, em seguida, prima L para selecionar a opção Linha Total nas Opções de Estilo da Tabela.</t>
  </si>
  <si>
    <t>No separador Dados, selecione Validação de Dados ou prima Alt+S, 9 para abrir a caixa de diálogo Validação de Dados. Prima a Tecla de Tabulação para Permitir e selecione Lista. Prima a Tecla de Tabulação novamente.</t>
  </si>
  <si>
    <t>INFORMAÇÕES ÚTEIS: As listas pendentes ajudam a garantir que as pessoas introduzem dados válidos. Por isso, faz sentido que as listas e objetos pendentes façam parte de um grupo maior de funcionalidades conhecido como Validação de Dados. 
Existem outros métodos de validação de dados. Por exemplo, pode restringir a introdução para números inteiros, datas ou até montantes mínimos e máximos. Existem muitas opções disponíveis e pode saber mais sobre as mesmas ao selecionar a ligação na célula A64.</t>
  </si>
  <si>
    <t>Crie uma tabela ao premir Alt+T e, em seguida, Enter.</t>
  </si>
  <si>
    <t>No separador Dados, selecione Validação de Dados ou prima Alt+S, 9 para abrir a caixa de diálogo Validação de Dados. Prima a Tecla de Tabulação para Permitir e prima a tecla Seta Para Baixo para selecionar a Lista. Prima a Tecla de Tabulação novamente.</t>
  </si>
  <si>
    <t>Para limpar os gráficos sparkline, selecione as células H55 a H62. Prima Alt+KT, para aceder ao separador Estrutura das Ferramentas de Gráfico Sparkline no friso. Prima B para selecionar a opção Limpar e, em seguida, prima C novamente para selecionar Limpar Gráficos Sparkline Selecionados.</t>
  </si>
  <si>
    <t xml:space="preserve">Agora adicione uma linha de tendência. Selecione o gráfico que criou e prima Alt+KU para aceder ao separador Estrutura das Ferramentas de Gráfico no friso. </t>
  </si>
  <si>
    <t xml:space="preserve">PONTOS EXTRA: Quer uma tabela de dados diretamente abaixo do gráfico? Selecione o gráfico. Prima Alt+KU para aceder ao separador Estrutura das Ferramentas de Gráfico. Em seguida, prima D para Adicionar Elemento de Gráfico. Prima a tecla Seta Para Baixo para localizar a opção Tabela de Dados e, em seguida, prima a tecla Seta Para a Direita para abrir as opções de Tabela de Dados. Prima a tecla Seta Para Baixo até localizar a opção Com Marcas de Legenda. Selecione Com Marcas de Legenda e, em seguida, prima Enter para adicionar Marcas de Legenda ao gráfico.
</t>
  </si>
  <si>
    <t xml:space="preserve">Prima Shift+F6 até aceder ao painel Campos da Tabela Dinâmica. Se o painel não estiver aberto, prima Alt+KL, seguido de L para abrir o painel Campos da Tabela Dinâmica. Por predefinição, o foco estará na caixa de texto Procurar: "Escrever palavras a procurar". Prima a Tecla de Tabulação até aceder ao botão Produto. Prima a Barra de Espaço para aceder ao menu de contexto e, em seguida, prima a tecla Seta Para Baixo até aceder ao campo Remover. Prima Enter. </t>
  </si>
  <si>
    <t>Selecione uma célula na tabela. Por exemplo, aceda à célula E38 e, em seguida, prima Alt+KL para aceder ao separador Estrutura no friso. Prima R para inserir uma tabela dinâmica.</t>
  </si>
  <si>
    <t>Row Labels</t>
  </si>
  <si>
    <t>Grand Total</t>
  </si>
  <si>
    <t xml:space="preserve">PONTOS EXTRA: Experimente alterar o estilo da tabela. Primeiro selecione uma célula na tabela entre as células C5 e I14. O separador Estrutura das Ferramentas de Tabela será apresentado na parte superior do Excel. Prima Alt+KL para aceder ao separador Estrutura no friso e, em seguida, prima E para aceder aos Estilos de Tabela. Utilize as teclas de seta para navegar pelas opções e selecione o estilo de tabela que pretende.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</si>
</sst>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0\ &quot;€&quot;;\-#,##0\ &quot;€&quot;"/>
    <numFmt numFmtId="6" formatCode="#,##0\ &quot;€&quot;;[Red]\-#,##0\ &quot;€&quot;"/>
    <numFmt numFmtId="42" formatCode="_-* #,##0\ &quot;€&quot;_-;\-* #,##0\ &quot;€&quot;_-;_-* &quot;-&quot;\ &quot;€&quot;_-;_-@_-"/>
    <numFmt numFmtId="164" formatCode="_(* #,##0_);_(* \(#,##0\);_(* &quot;-&quot;_);_(@_)"/>
    <numFmt numFmtId="165" formatCode="_(* #,##0.00_);_(* \(#,##0.00\);_(* &quot;-&quot;??_);_(@_)"/>
    <numFmt numFmtId="166" formatCode="yyyy;@"/>
    <numFmt numFmtId="167" formatCode="#,##0\ &quot;€&quot;;[Red]#,##0\ &quot;€&quot;"/>
  </numFmts>
  <fonts count="29"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11"/>
      <name val="Calibri"/>
      <family val="2"/>
      <scheme val="minor"/>
    </font>
    <font>
      <u/>
      <sz val="11"/>
      <color theme="1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38">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4" fillId="0" borderId="0" applyNumberFormat="0" applyFill="0" applyBorder="0" applyAlignment="0" applyProtection="0"/>
    <xf numFmtId="0" fontId="4" fillId="0" borderId="0" applyNumberFormat="0" applyFill="0" applyBorder="0" applyAlignment="0" applyProtection="0"/>
    <xf numFmtId="0" fontId="2" fillId="3" borderId="0"/>
    <xf numFmtId="0" fontId="2" fillId="5" borderId="10"/>
    <xf numFmtId="0" fontId="2" fillId="3" borderId="1"/>
    <xf numFmtId="0" fontId="2" fillId="0" borderId="8"/>
    <xf numFmtId="5" fontId="17" fillId="0" borderId="0" applyBorder="0" applyAlignment="0" applyProtection="0"/>
    <xf numFmtId="0" fontId="8" fillId="0" borderId="0"/>
    <xf numFmtId="0" fontId="12" fillId="0" borderId="0" applyFill="0" applyBorder="0">
      <alignment wrapText="1"/>
    </xf>
    <xf numFmtId="42" fontId="2" fillId="0" borderId="0" applyFont="0" applyFill="0" applyBorder="0" applyAlignment="0" applyProtection="0"/>
    <xf numFmtId="0" fontId="15" fillId="6" borderId="0" applyNumberFormat="0" applyBorder="0" applyProtection="0">
      <alignment horizontal="left" indent="1"/>
    </xf>
    <xf numFmtId="0" fontId="16" fillId="6" borderId="0" applyNumberFormat="0" applyProtection="0">
      <alignment horizontal="left" wrapText="1" indent="4"/>
    </xf>
    <xf numFmtId="0" fontId="12" fillId="6" borderId="0" applyNumberFormat="0" applyProtection="0">
      <alignment horizontal="left" wrapText="1" indent="4"/>
    </xf>
    <xf numFmtId="0" fontId="8" fillId="2" borderId="0" applyNumberFormat="0" applyBorder="0" applyProtection="0"/>
    <xf numFmtId="0" fontId="9" fillId="0" borderId="0" applyNumberFormat="0" applyFill="0" applyBorder="0" applyAlignment="0" applyProtection="0"/>
    <xf numFmtId="0" fontId="2" fillId="0" borderId="11" applyNumberFormat="0" applyFont="0" applyFill="0" applyAlignment="0"/>
    <xf numFmtId="0" fontId="2" fillId="0" borderId="3" applyNumberFormat="0" applyFont="0" applyFill="0" applyAlignment="0"/>
    <xf numFmtId="0" fontId="2" fillId="0" borderId="4" applyNumberFormat="0" applyFont="0" applyFill="0" applyAlignment="0"/>
    <xf numFmtId="0" fontId="2" fillId="0" borderId="6" applyNumberFormat="0" applyFont="0" applyFill="0" applyAlignment="0"/>
    <xf numFmtId="0" fontId="2" fillId="0" borderId="5" applyNumberFormat="0" applyFont="0" applyFill="0"/>
    <xf numFmtId="0" fontId="2" fillId="0" borderId="7" applyNumberFormat="0" applyFont="0" applyFill="0" applyAlignment="0"/>
    <xf numFmtId="167" fontId="2" fillId="4" borderId="0" applyFont="0" applyBorder="0" applyAlignment="0"/>
    <xf numFmtId="14" fontId="17" fillId="0" borderId="0" applyFill="0" applyBorder="0" applyAlignment="0"/>
    <xf numFmtId="166" fontId="2" fillId="0" borderId="0" applyFont="0" applyFill="0" applyBorder="0" applyAlignment="0"/>
    <xf numFmtId="0" fontId="18" fillId="0" borderId="0" applyNumberFormat="0" applyFill="0" applyBorder="0" applyAlignment="0" applyProtection="0"/>
    <xf numFmtId="0" fontId="4" fillId="0" borderId="0" applyNumberFormat="0" applyFill="0" applyBorder="0" applyAlignment="0" applyProtection="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19" fillId="7" borderId="0" applyNumberFormat="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12" applyNumberFormat="0" applyAlignment="0" applyProtection="0"/>
    <xf numFmtId="0" fontId="23" fillId="11" borderId="13" applyNumberFormat="0" applyAlignment="0" applyProtection="0"/>
    <xf numFmtId="0" fontId="24" fillId="11" borderId="12" applyNumberFormat="0" applyAlignment="0" applyProtection="0"/>
    <xf numFmtId="0" fontId="25" fillId="0" borderId="14" applyNumberFormat="0" applyFill="0" applyAlignment="0" applyProtection="0"/>
    <xf numFmtId="0" fontId="26" fillId="12" borderId="15" applyNumberFormat="0" applyAlignment="0" applyProtection="0"/>
    <xf numFmtId="0" fontId="27" fillId="0" borderId="0" applyNumberFormat="0" applyFill="0" applyBorder="0" applyAlignment="0" applyProtection="0"/>
    <xf numFmtId="0" fontId="17" fillId="13" borderId="10" applyNumberFormat="0" applyFont="0" applyAlignment="0" applyProtection="0"/>
    <xf numFmtId="0" fontId="28" fillId="0" borderId="0" applyNumberFormat="0" applyFill="0" applyBorder="0" applyAlignment="0" applyProtection="0"/>
    <xf numFmtId="0" fontId="9" fillId="0" borderId="16" applyNumberFormat="0" applyFill="0" applyAlignment="0" applyProtection="0"/>
    <xf numFmtId="0" fontId="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8"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cellStyleXfs>
  <cellXfs count="55">
    <xf numFmtId="0" fontId="0" fillId="0" borderId="0" xfId="0"/>
    <xf numFmtId="0" fontId="7" fillId="0" borderId="0" xfId="0" applyFont="1"/>
    <xf numFmtId="0" fontId="6" fillId="0" borderId="0" xfId="0" applyFont="1"/>
    <xf numFmtId="0" fontId="0" fillId="0" borderId="0" xfId="0" applyAlignment="1">
      <alignment horizontal="left"/>
    </xf>
    <xf numFmtId="0" fontId="5" fillId="0" borderId="0" xfId="0" applyFont="1" applyAlignment="1">
      <alignment horizontal="left"/>
    </xf>
    <xf numFmtId="0" fontId="0" fillId="3" borderId="0" xfId="0" applyFill="1"/>
    <xf numFmtId="0" fontId="2" fillId="3" borderId="0" xfId="3"/>
    <xf numFmtId="0" fontId="2" fillId="5" borderId="10" xfId="4"/>
    <xf numFmtId="0" fontId="0" fillId="3" borderId="0" xfId="3" applyFont="1"/>
    <xf numFmtId="0" fontId="8" fillId="2" borderId="0" xfId="0" applyFont="1" applyFill="1"/>
    <xf numFmtId="0" fontId="0" fillId="0" borderId="2" xfId="0" applyBorder="1"/>
    <xf numFmtId="0" fontId="0" fillId="0" borderId="9" xfId="0" applyBorder="1"/>
    <xf numFmtId="0" fontId="0" fillId="0" borderId="0" xfId="0" pivotButton="1"/>
    <xf numFmtId="0" fontId="10" fillId="0" borderId="0" xfId="0" applyFont="1"/>
    <xf numFmtId="0" fontId="11" fillId="0" borderId="0" xfId="0" applyFont="1"/>
    <xf numFmtId="0" fontId="11" fillId="0" borderId="0" xfId="0" applyFont="1" applyAlignment="1">
      <alignment vertical="center"/>
    </xf>
    <xf numFmtId="0" fontId="8" fillId="0" borderId="0" xfId="8"/>
    <xf numFmtId="0" fontId="12" fillId="6" borderId="0" xfId="9" applyFill="1">
      <alignment wrapText="1"/>
    </xf>
    <xf numFmtId="0" fontId="3" fillId="0" borderId="0" xfId="0" applyFont="1"/>
    <xf numFmtId="0" fontId="3" fillId="0" borderId="0" xfId="0" applyFont="1" applyAlignment="1">
      <alignment horizontal="left"/>
    </xf>
    <xf numFmtId="0" fontId="3" fillId="5" borderId="10" xfId="4" applyFont="1"/>
    <xf numFmtId="0" fontId="3" fillId="3" borderId="0" xfId="3" applyFont="1"/>
    <xf numFmtId="0" fontId="3" fillId="3" borderId="1" xfId="5" applyFont="1"/>
    <xf numFmtId="0" fontId="3" fillId="0" borderId="0" xfId="0" applyFont="1" applyAlignment="1">
      <alignment horizontal="left" indent="1"/>
    </xf>
    <xf numFmtId="0" fontId="13" fillId="0" borderId="0" xfId="0" applyFont="1"/>
    <xf numFmtId="0" fontId="14" fillId="0" borderId="0" xfId="0" applyFont="1"/>
    <xf numFmtId="0" fontId="14" fillId="0" borderId="0" xfId="0" applyFont="1" applyAlignment="1">
      <alignment horizontal="left"/>
    </xf>
    <xf numFmtId="0" fontId="15" fillId="6" borderId="0" xfId="11">
      <alignment horizontal="left" indent="1"/>
    </xf>
    <xf numFmtId="0" fontId="16" fillId="6" borderId="0" xfId="12">
      <alignment horizontal="left" wrapText="1" indent="4"/>
    </xf>
    <xf numFmtId="0" fontId="2" fillId="3" borderId="1" xfId="5"/>
    <xf numFmtId="0" fontId="8"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5" fontId="0" fillId="0" borderId="0" xfId="7" applyFont="1"/>
    <xf numFmtId="42" fontId="0" fillId="0" borderId="0" xfId="10" applyFont="1" applyAlignment="1">
      <alignment horizontal="right"/>
    </xf>
    <xf numFmtId="0" fontId="3" fillId="3" borderId="11" xfId="16" applyFont="1" applyFill="1"/>
    <xf numFmtId="0" fontId="9" fillId="3" borderId="0" xfId="15" applyFill="1"/>
    <xf numFmtId="0" fontId="8" fillId="2" borderId="0" xfId="14" applyNumberFormat="1" applyBorder="1"/>
    <xf numFmtId="0" fontId="0" fillId="0" borderId="6" xfId="0" applyBorder="1"/>
    <xf numFmtId="0" fontId="0" fillId="0" borderId="7" xfId="18" applyFont="1" applyFill="1" applyBorder="1"/>
    <xf numFmtId="0" fontId="8" fillId="2" borderId="0" xfId="14" applyBorder="1"/>
    <xf numFmtId="0" fontId="8" fillId="0" borderId="0" xfId="8" applyAlignment="1">
      <alignment wrapText="1"/>
    </xf>
    <xf numFmtId="0" fontId="12" fillId="6" borderId="0" xfId="13">
      <alignment horizontal="left" wrapText="1" indent="4"/>
    </xf>
    <xf numFmtId="5" fontId="17" fillId="3" borderId="0" xfId="7" applyFill="1"/>
    <xf numFmtId="42" fontId="0" fillId="0" borderId="0" xfId="0" applyNumberFormat="1"/>
    <xf numFmtId="5" fontId="17" fillId="0" borderId="0" xfId="7"/>
    <xf numFmtId="6" fontId="0" fillId="0" borderId="0" xfId="0" applyNumberFormat="1"/>
    <xf numFmtId="6" fontId="0" fillId="4" borderId="0" xfId="22" applyNumberFormat="1" applyFont="1"/>
    <xf numFmtId="14" fontId="17" fillId="0" borderId="0" xfId="23"/>
    <xf numFmtId="5" fontId="17" fillId="0" borderId="0" xfId="7" applyAlignment="1"/>
    <xf numFmtId="0" fontId="1" fillId="3" borderId="0" xfId="3" applyFont="1"/>
  </cellXfs>
  <cellStyles count="66">
    <cellStyle name="20% - Cor1" xfId="43" builtinId="30" customBuiltin="1"/>
    <cellStyle name="20% - Cor2" xfId="47" builtinId="34" customBuiltin="1"/>
    <cellStyle name="20% - Cor3" xfId="51" builtinId="38" customBuiltin="1"/>
    <cellStyle name="20% - Cor4" xfId="55" builtinId="42" customBuiltin="1"/>
    <cellStyle name="20% - Cor5" xfId="59" builtinId="46" customBuiltin="1"/>
    <cellStyle name="20% - Cor6" xfId="63" builtinId="50" customBuiltin="1"/>
    <cellStyle name="40% - Cor1" xfId="44" builtinId="31" customBuiltin="1"/>
    <cellStyle name="40% - Cor2" xfId="48" builtinId="35" customBuiltin="1"/>
    <cellStyle name="40% - Cor3" xfId="52" builtinId="39" customBuiltin="1"/>
    <cellStyle name="40% - Cor4" xfId="56" builtinId="43" customBuiltin="1"/>
    <cellStyle name="40% - Cor5" xfId="60" builtinId="47" customBuiltin="1"/>
    <cellStyle name="40% - Cor6" xfId="64" builtinId="51" customBuiltin="1"/>
    <cellStyle name="60% - Cor1" xfId="45" builtinId="32" customBuiltin="1"/>
    <cellStyle name="60% - Cor2" xfId="49" builtinId="36" customBuiltin="1"/>
    <cellStyle name="60% - Cor3" xfId="53" builtinId="40" customBuiltin="1"/>
    <cellStyle name="60% - Cor4" xfId="57" builtinId="44" customBuiltin="1"/>
    <cellStyle name="60% - Cor5" xfId="61" builtinId="48" customBuiltin="1"/>
    <cellStyle name="60% - Cor6" xfId="65" builtinId="52" customBuiltin="1"/>
    <cellStyle name="Ano" xfId="24" xr:uid="{00000000-0005-0000-0000-000012000000}"/>
    <cellStyle name="Cabeçalho 1" xfId="12" builtinId="16" customBuiltin="1"/>
    <cellStyle name="Cabeçalho 2" xfId="13" builtinId="17" customBuiltin="1"/>
    <cellStyle name="Cabeçalho 3" xfId="14" builtinId="18" customBuiltin="1"/>
    <cellStyle name="Cabeçalho 4" xfId="15" builtinId="19" customBuiltin="1"/>
    <cellStyle name="Cálculo" xfId="35" builtinId="22" customBuiltin="1"/>
    <cellStyle name="Célula Ligada" xfId="36" builtinId="24" customBuiltin="1"/>
    <cellStyle name="CélulaAmarela" xfId="4" xr:uid="{00000000-0005-0000-0000-000019000000}"/>
    <cellStyle name="CélulaCinzenta" xfId="3" xr:uid="{00000000-0005-0000-0000-00001A000000}"/>
    <cellStyle name="Cor1" xfId="42" builtinId="29" customBuiltin="1"/>
    <cellStyle name="Cor2" xfId="46" builtinId="33" customBuiltin="1"/>
    <cellStyle name="Cor3" xfId="50" builtinId="37" customBuiltin="1"/>
    <cellStyle name="Cor4" xfId="54" builtinId="41" customBuiltin="1"/>
    <cellStyle name="Cor5" xfId="58" builtinId="45" customBuiltin="1"/>
    <cellStyle name="Cor6" xfId="62" builtinId="49" customBuiltin="1"/>
    <cellStyle name="Correto" xfId="30" builtinId="26" customBuiltin="1"/>
    <cellStyle name="Data" xfId="23" xr:uid="{00000000-0005-0000-0000-000022000000}"/>
    <cellStyle name="Entrada" xfId="33" builtinId="20" customBuiltin="1"/>
    <cellStyle name="Hiperligação" xfId="25" builtinId="8" customBuiltin="1"/>
    <cellStyle name="Hiperligação Visitada" xfId="1" builtinId="9" hidden="1"/>
    <cellStyle name="Hiperligação Visitada" xfId="2" builtinId="9" hidden="1"/>
    <cellStyle name="Hiperligação Visitada" xfId="26" builtinId="9" customBuiltin="1"/>
    <cellStyle name="Incorreto" xfId="31" builtinId="27" customBuiltin="1"/>
    <cellStyle name="Limite Esquerdo" xfId="6" xr:uid="{00000000-0005-0000-0000-000029000000}"/>
    <cellStyle name="Limite Inferior" xfId="16" xr:uid="{00000000-0005-0000-0000-00002A000000}"/>
    <cellStyle name="Limite Verde Direito" xfId="18" xr:uid="{00000000-0005-0000-0000-00002B000000}"/>
    <cellStyle name="Limite Verde Direito Inferior" xfId="21" xr:uid="{00000000-0005-0000-0000-00002C000000}"/>
    <cellStyle name="Limite Verde Esquerdo" xfId="17" xr:uid="{00000000-0005-0000-0000-00002D000000}"/>
    <cellStyle name="Limite Verde Esquerdo Inferior" xfId="20" xr:uid="{00000000-0005-0000-0000-00002E000000}"/>
    <cellStyle name="Limite Verde Inferior" xfId="19" xr:uid="{00000000-0005-0000-0000-00002F000000}"/>
    <cellStyle name="LimiteLaranja" xfId="5" xr:uid="{00000000-0005-0000-0000-000030000000}"/>
    <cellStyle name="Moeda" xfId="7" builtinId="4" customBuiltin="1"/>
    <cellStyle name="Moeda [0]" xfId="10" builtinId="7" customBuiltin="1"/>
    <cellStyle name="Neutro" xfId="32" builtinId="28" customBuiltin="1"/>
    <cellStyle name="Normal" xfId="0" builtinId="0" customBuiltin="1"/>
    <cellStyle name="Nota" xfId="39" builtinId="10" customBuiltin="1"/>
    <cellStyle name="Percentagem" xfId="29" builtinId="5" customBuiltin="1"/>
    <cellStyle name="Realce" xfId="22" xr:uid="{00000000-0005-0000-0000-000037000000}"/>
    <cellStyle name="Saída" xfId="34" builtinId="21" customBuiltin="1"/>
    <cellStyle name="Separador de milhares [0]" xfId="28" builtinId="6" customBuiltin="1"/>
    <cellStyle name="Texto da Coluna z A" xfId="8" xr:uid="{00000000-0005-0000-0000-00003A000000}"/>
    <cellStyle name="Texto de Aviso" xfId="38" builtinId="11" customBuiltin="1"/>
    <cellStyle name="Texto de Início" xfId="9" xr:uid="{00000000-0005-0000-0000-00003C000000}"/>
    <cellStyle name="Texto Explicativo" xfId="40" builtinId="53" customBuiltin="1"/>
    <cellStyle name="Título" xfId="11" builtinId="15" customBuiltin="1"/>
    <cellStyle name="Total" xfId="41" builtinId="25" customBuiltin="1"/>
    <cellStyle name="Verificar Célula" xfId="37" builtinId="23" customBuiltin="1"/>
    <cellStyle name="Vírgula" xfId="27" builtinId="3" customBuiltin="1"/>
  </cellStyles>
  <dxfs count="34">
    <dxf>
      <font>
        <b val="0"/>
        <i val="0"/>
        <strike val="0"/>
        <condense val="0"/>
        <extend val="0"/>
        <outline val="0"/>
        <shadow val="0"/>
        <u val="none"/>
        <vertAlign val="baseline"/>
        <sz val="11"/>
        <color theme="1"/>
        <name val="Calibri"/>
        <family val="2"/>
        <scheme val="minor"/>
      </font>
      <numFmt numFmtId="32" formatCode="_-* #,##0\ &quot;€&quot;_-;\-* #,##0\ &quot;€&quot;_-;_-* &quot;-&quot;\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protection locked="1" hidden="0"/>
    </dxf>
    <dxf>
      <font>
        <b val="0"/>
        <i val="0"/>
        <strike val="0"/>
        <condense val="0"/>
        <extend val="0"/>
        <outline val="0"/>
        <shadow val="0"/>
        <u val="none"/>
        <vertAlign val="baseline"/>
        <sz val="11"/>
        <color theme="1"/>
        <name val="Calibri"/>
        <family val="2"/>
        <scheme val="minor"/>
      </font>
      <numFmt numFmtId="32" formatCode="_-* #,##0\ &quot;€&quot;_-;\-* #,##0\ &quot;€&quot;_-;_-* &quot;-&quot;\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protection locked="1" hidden="0"/>
    </dxf>
    <dxf>
      <numFmt numFmtId="32" formatCode="_-* #,##0\ &quot;€&quot;_-;\-* #,##0\ &quot;€&quot;_-;_-* &quot;-&quot;\ &quot;€&quot;_-;_-@_-"/>
    </dxf>
    <dxf>
      <numFmt numFmtId="32" formatCode="_-* #,##0\ &quot;€&quot;_-;\-* #,##0\ &quot;€&quot;_-;_-* &quot;-&quot;\ &quot;€&quot;_-;_-@_-"/>
    </dxf>
    <dxf>
      <numFmt numFmtId="168" formatCode="&quot;$&quot;#,##0_);\(&quot;$&quot;#,##0\)"/>
    </dxf>
    <dxf>
      <font>
        <b val="0"/>
        <i val="0"/>
        <strike val="0"/>
        <condense val="0"/>
        <extend val="0"/>
        <outline val="0"/>
        <shadow val="0"/>
        <u val="none"/>
        <vertAlign val="baseline"/>
        <sz val="11"/>
        <color auto="1"/>
        <name val="Calibri"/>
        <family val="2"/>
        <scheme val="minor"/>
      </font>
      <numFmt numFmtId="9" formatCode="#,##0\ &quot;€&quot;;\-#,##0\ &quot;€&quot;"/>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protection locked="1" hidden="0"/>
    </dxf>
    <dxf>
      <numFmt numFmtId="9" formatCode="#,##0\ &quot;€&quot;;\-#,##0\ &quot;€&quot;"/>
    </dxf>
    <dxf>
      <numFmt numFmtId="9" formatCode="#,##0\ &quot;€&quot;;\-#,##0\ &quot;€&quot;"/>
    </dxf>
    <dxf>
      <font>
        <b val="0"/>
        <i val="0"/>
        <strike val="0"/>
        <condense val="0"/>
        <extend val="0"/>
        <outline val="0"/>
        <shadow val="0"/>
        <u val="none"/>
        <vertAlign val="baseline"/>
        <sz val="11"/>
        <color auto="1"/>
        <name val="Calibri"/>
        <family val="2"/>
        <scheme val="minor"/>
      </font>
      <numFmt numFmtId="9" formatCode="#,##0\ &quot;€&quot;;\-#,##0\ &quot;€&quo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numFmt numFmtId="9" formatCode="#,##0\ &quot;€&quot;;\-#,##0\ &quot;€&quot;"/>
    </dxf>
    <dxf>
      <fill>
        <patternFill patternType="none">
          <fgColor indexed="64"/>
          <bgColor auto="1"/>
        </patternFill>
      </fill>
    </dxf>
    <dxf>
      <fill>
        <patternFill patternType="none">
          <fgColor indexed="64"/>
          <bgColor auto="1"/>
        </patternFill>
      </fill>
    </dxf>
    <dxf>
      <numFmt numFmtId="0" formatCode="General"/>
    </dxf>
    <dxf>
      <numFmt numFmtId="0" formatCode="General"/>
    </dxf>
    <dxf>
      <numFmt numFmtId="0" formatCode="General"/>
    </dxf>
    <dxf>
      <numFmt numFmtId="0" formatCode="General"/>
    </dxf>
    <dxf>
      <numFmt numFmtId="10" formatCode="#,##0\ &quot;€&quot;;[Red]\-#,##0\ &quot;€&quot;"/>
    </dxf>
    <dxf>
      <numFmt numFmtId="10" formatCode="#,##0\ &quot;€&quot;;[Red]\-#,##0\ &quot;€&quot;"/>
    </dxf>
    <dxf>
      <numFmt numFmtId="10" formatCode="#,##0\ &quot;€&quot;;[Red]\-#,##0\ &quot;€&quot;"/>
    </dxf>
    <dxf>
      <numFmt numFmtId="10" formatCode="#,##0\ &quot;€&quot;;[Red]\-#,##0\ &quot;€&quot;"/>
    </dxf>
    <dxf>
      <numFmt numFmtId="10" formatCode="#,##0\ &quot;€&quot;;[Red]\-#,##0\ &quot;€&quot;"/>
    </dxf>
    <dxf>
      <numFmt numFmtId="10" formatCode="#,##0\ &quot;€&quot;;[Red]\-#,##0\ &quot;€&quot;"/>
    </dxf>
    <dxf>
      <fill>
        <patternFill>
          <bgColor theme="0" tint="-4.9989318521683403E-2"/>
        </patternFill>
      </fill>
    </dxf>
    <dxf>
      <font>
        <color theme="0"/>
      </font>
      <fill>
        <patternFill>
          <bgColor rgb="FF339966"/>
        </patternFill>
      </fill>
    </dxf>
    <dxf>
      <font>
        <color theme="0"/>
      </font>
      <fill>
        <patternFill>
          <bgColor rgb="FF359966"/>
        </patternFill>
      </fill>
    </dxf>
    <dxf>
      <font>
        <color theme="0"/>
      </font>
      <fill>
        <patternFill>
          <bgColor rgb="FF359966"/>
        </patternFill>
      </fill>
    </dxf>
  </dxfs>
  <tableStyles count="2" defaultTableStyle="EstiloDeTabelaPersonalizado" defaultPivotStyle="PivotStyleLight16">
    <tableStyle name="Estilo de Tabela Dinâmica 1" table="0" count="2" xr9:uid="{00000000-0011-0000-FFFF-FFFF00000000}">
      <tableStyleElement type="headerRow" dxfId="33"/>
      <tableStyleElement type="totalRow" dxfId="32"/>
    </tableStyle>
    <tableStyle name="EstiloDeTabelaPersonalizado" pivot="0" count="2" xr9:uid="{00000000-0011-0000-FFFF-FFFF01000000}">
      <tableStyleElement type="headerRow" dxfId="31"/>
      <tableStyleElement type="firstRowStripe" dxfId="30"/>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Gráficos'!$E$67</c:f>
              <c:strCache>
                <c:ptCount val="1"/>
                <c:pt idx="0">
                  <c:v>Número de participantes</c:v>
                </c:pt>
              </c:strCache>
            </c:strRef>
          </c:tx>
          <c:spPr>
            <a:solidFill>
              <a:schemeClr val="accent1"/>
            </a:solidFill>
            <a:ln>
              <a:noFill/>
            </a:ln>
            <a:effectLst/>
          </c:spPr>
          <c:invertIfNegative val="0"/>
          <c:cat>
            <c:numRef>
              <c:f>'9. Gráficos'!$D$68:$D$73</c:f>
              <c:numCache>
                <c:formatCode>General</c:formatCode>
                <c:ptCount val="6"/>
                <c:pt idx="0">
                  <c:v>2021</c:v>
                </c:pt>
                <c:pt idx="1">
                  <c:v>2022</c:v>
                </c:pt>
                <c:pt idx="2">
                  <c:v>2023</c:v>
                </c:pt>
                <c:pt idx="3">
                  <c:v>2024</c:v>
                </c:pt>
                <c:pt idx="4">
                  <c:v>2025</c:v>
                </c:pt>
                <c:pt idx="5">
                  <c:v>2026</c:v>
                </c:pt>
              </c:numCache>
            </c:numRef>
          </c:cat>
          <c:val>
            <c:numRef>
              <c:f>'9. Gráficos'!$E$68:$E$73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Gráficos'!$F$67</c:f>
              <c:strCache>
                <c:ptCount val="1"/>
                <c:pt idx="0">
                  <c:v>Vendas deComida</c:v>
                </c:pt>
              </c:strCache>
            </c:strRef>
          </c:tx>
          <c:spPr>
            <a:ln w="28575" cap="rnd">
              <a:solidFill>
                <a:schemeClr val="accent2"/>
              </a:solidFill>
              <a:round/>
            </a:ln>
            <a:effectLst/>
          </c:spPr>
          <c:marker>
            <c:symbol val="none"/>
          </c:marker>
          <c:cat>
            <c:numRef>
              <c:f>'9. Gráficos'!$D$68:$D$73</c:f>
              <c:numCache>
                <c:formatCode>General</c:formatCode>
                <c:ptCount val="6"/>
                <c:pt idx="0">
                  <c:v>2021</c:v>
                </c:pt>
                <c:pt idx="1">
                  <c:v>2022</c:v>
                </c:pt>
                <c:pt idx="2">
                  <c:v>2023</c:v>
                </c:pt>
                <c:pt idx="3">
                  <c:v>2024</c:v>
                </c:pt>
                <c:pt idx="4">
                  <c:v>2025</c:v>
                </c:pt>
                <c:pt idx="5">
                  <c:v>2026</c:v>
                </c:pt>
              </c:numCache>
            </c:numRef>
          </c:cat>
          <c:val>
            <c:numRef>
              <c:f>'9. Gráficos'!$F$68:$F$73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Gráficos'!$D$5</c:f>
              <c:strCache>
                <c:ptCount val="1"/>
                <c:pt idx="0">
                  <c:v>Número de participantes</c:v>
                </c:pt>
              </c:strCache>
            </c:strRef>
          </c:tx>
          <c:spPr>
            <a:solidFill>
              <a:schemeClr val="accent1"/>
            </a:solidFill>
            <a:ln>
              <a:noFill/>
            </a:ln>
            <a:effectLst/>
          </c:spPr>
          <c:invertIfNegative val="0"/>
          <c:cat>
            <c:numRef>
              <c:f>'9. Gráficos'!$C$6:$C$11</c:f>
              <c:numCache>
                <c:formatCode>General</c:formatCode>
                <c:ptCount val="6"/>
                <c:pt idx="0">
                  <c:v>2021</c:v>
                </c:pt>
                <c:pt idx="1">
                  <c:v>2022</c:v>
                </c:pt>
                <c:pt idx="2">
                  <c:v>2023</c:v>
                </c:pt>
                <c:pt idx="3">
                  <c:v>2024</c:v>
                </c:pt>
                <c:pt idx="4">
                  <c:v>2025</c:v>
                </c:pt>
                <c:pt idx="5">
                  <c:v>2026</c:v>
                </c:pt>
              </c:numCache>
            </c:numRef>
          </c:cat>
          <c:val>
            <c:numRef>
              <c:f>'9. Gráficos'!$D$6:$D$11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icionar'!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pt-PT/article/use-excel-as-your-calculator-a1abc057-ed11-443a-a635-68216555ad0a?ui=pt-PT&amp;rs=en-001&amp;ad=us"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Preencher'!A1"/><Relationship Id="rId7" Type="http://schemas.openxmlformats.org/officeDocument/2006/relationships/hyperlink" Target="https://support.office.com/pt-PT/article/sumif-function-169b8c99-c05c-4483-a712-1697a653039b?ui=pt-PT&amp;rs=en-001&amp;ad=us" TargetMode="External"/><Relationship Id="rId12" Type="http://schemas.openxmlformats.org/officeDocument/2006/relationships/hyperlink" Target="#'10. Tabelas Din&#226;micas'!A1"/><Relationship Id="rId17" Type="http://schemas.openxmlformats.org/officeDocument/2006/relationships/image" Target="../media/image11.png"/><Relationship Id="rId2" Type="http://schemas.openxmlformats.org/officeDocument/2006/relationships/hyperlink" Target="#'1. Adicionar'!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icionar'!A62"/><Relationship Id="rId4" Type="http://schemas.openxmlformats.org/officeDocument/2006/relationships/hyperlink" Target="https://support.office.com/pt-PT/article/sum-function-043e1c7d-7726-4e80-8f32-07b23e057f89?ui=pt-PT&amp;rs=en-001&amp;ad=us" TargetMode="External"/><Relationship Id="rId9" Type="http://schemas.openxmlformats.org/officeDocument/2006/relationships/hyperlink" Target="https://support.office.com/pt-PT/article/excel-for-windows-training-9bc05390-e94c-46af-a5b3-d7c22f6990bb?ui=pt-PT&amp;rs=en-001&amp;ad=us"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Preencher'!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support.office.com/pt-PT/article/fill-a-formula-down-into-adjacent-cells-041edfe2-05bc-40e6-b933-ef48c3f308c6?ui=pt-PT&amp;rs=en-001&amp;ad=us" TargetMode="External"/><Relationship Id="rId2" Type="http://schemas.openxmlformats.org/officeDocument/2006/relationships/hyperlink" Target="#'3. Dividir'!A1"/><Relationship Id="rId16" Type="http://schemas.openxmlformats.org/officeDocument/2006/relationships/image" Target="../media/image16.svg"/><Relationship Id="rId1" Type="http://schemas.openxmlformats.org/officeDocument/2006/relationships/hyperlink" Target="#'2. Preencher'!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support.office.com/pt-PT/article/fill-data-automatically-in-worksheet-cells-74e31bdd-d993-45da-aa82-35a236c5b5db?ui=pt-PT&amp;rs=en-001&amp;ad=us"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PT/article/get-transform-in-excel-881c63c6-37c5-4ca2-b616-59e18d75b4de?ui=pt-PT&amp;rs=en-001&amp;ad=us" TargetMode="External"/><Relationship Id="rId13" Type="http://schemas.openxmlformats.org/officeDocument/2006/relationships/image" Target="../media/image17.png"/><Relationship Id="rId3" Type="http://schemas.openxmlformats.org/officeDocument/2006/relationships/hyperlink" Target="#'3. Dividir'!A1"/><Relationship Id="rId7" Type="http://schemas.openxmlformats.org/officeDocument/2006/relationships/image" Target="../media/image4.svg"/><Relationship Id="rId12" Type="http://schemas.openxmlformats.org/officeDocument/2006/relationships/hyperlink" Target="https://support.office.com/pt-PT/article/len-lenb-functions-29236f94-cedc-429d-affd-b5e33d2c67cb?ui=pt-PT&amp;rs=en-001&amp;ad=us"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support.office.com/pt-PT/article/find-findb-functions-c7912941-af2a-4bdf-a553-d0d89b0a0628?ui=pt-PT&amp;rs=en-001&amp;ad=us" TargetMode="External"/><Relationship Id="rId5" Type="http://schemas.openxmlformats.org/officeDocument/2006/relationships/hyperlink" Target="https://support.office.com/pt-PT/article/split-text-into-different-columns-with-the-convert-text-to-columns-wizard-30b14928-5550-41f5-97ca-7a3e9c363ed7?ui=pt-PT&amp;rs=en-001&amp;ad=us" TargetMode="External"/><Relationship Id="rId15" Type="http://schemas.openxmlformats.org/officeDocument/2006/relationships/hyperlink" Target="#'3. Dividir'!A62"/><Relationship Id="rId10" Type="http://schemas.openxmlformats.org/officeDocument/2006/relationships/hyperlink" Target="https://support.office.com/pt-PT/article/right-rightb-functions-240267ee-9afa-4639-a02b-f19e1786cf2f?ui=pt-PT&amp;rs=en-001&amp;ad=us" TargetMode="External"/><Relationship Id="rId4" Type="http://schemas.openxmlformats.org/officeDocument/2006/relationships/hyperlink" Target="#'4. Transpor'!A1"/><Relationship Id="rId9" Type="http://schemas.openxmlformats.org/officeDocument/2006/relationships/hyperlink" Target="https://support.office.com/pt-PT/article/left-leftb-functions-9203d2d2-7960-479b-84c6-1ea52b99640c?ui=pt-PT&amp;rs=en-001&amp;ad=us"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PT/article/transpose-rotate-data-from-rows-to-columns-or-vice-versa-3419f2e3-beab-4318-aae5-d0f862209744?ui=pt-PT&amp;rs=en-001&amp;ad=us"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r'!A1"/><Relationship Id="rId12" Type="http://schemas.openxmlformats.org/officeDocument/2006/relationships/hyperlink" Target="https://support.office.com/pt-PT/article/create-an-array-formula-e43e12e0-afc6-4a12-bc7f-48361075954d?ui=pt-PT&amp;rs=en-001&amp;ad=us" TargetMode="External"/><Relationship Id="rId2" Type="http://schemas.openxmlformats.org/officeDocument/2006/relationships/hyperlink" Target="#'5. Ordenar e filtrar'!A1"/><Relationship Id="rId1" Type="http://schemas.openxmlformats.org/officeDocument/2006/relationships/hyperlink" Target="#'4. Transpor'!A62"/><Relationship Id="rId6" Type="http://schemas.openxmlformats.org/officeDocument/2006/relationships/image" Target="../media/image23.svg"/><Relationship Id="rId11" Type="http://schemas.openxmlformats.org/officeDocument/2006/relationships/hyperlink" Target="https://support.office.com/pt-PT/article/transpose-function-ed039415-ed8a-4a81-93e9-4b6dfac76027?ui=pt-PT&amp;rs=en-001&amp;ad=us"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Ordenar e filtrar'!A1"/><Relationship Id="rId13" Type="http://schemas.openxmlformats.org/officeDocument/2006/relationships/image" Target="../media/image28.png"/><Relationship Id="rId3" Type="http://schemas.openxmlformats.org/officeDocument/2006/relationships/hyperlink" Target="#'5. Ordenar e filtrar'!A62"/><Relationship Id="rId7" Type="http://schemas.openxmlformats.org/officeDocument/2006/relationships/image" Target="../media/image8.svg"/><Relationship Id="rId12" Type="http://schemas.openxmlformats.org/officeDocument/2006/relationships/hyperlink" Target="https://support.office.com/pt-PT/article/filter-data-in-a-range-or-table-01832226-31b5-4568-8806-38c37dcc180e?ui=pt-PT&amp;rs=en-001&amp;ad=us"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elas'!A1"/><Relationship Id="rId9" Type="http://schemas.openxmlformats.org/officeDocument/2006/relationships/hyperlink" Target="https://support.office.com/pt-PT/article/sort-data-in-a-range-or-table-62d0b95d-2a90-4610-a6ae-2e545c4a4654?ui=pt-PT&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9.png"/><Relationship Id="rId7" Type="http://schemas.openxmlformats.org/officeDocument/2006/relationships/image" Target="../media/image12.svg"/><Relationship Id="rId12" Type="http://schemas.openxmlformats.org/officeDocument/2006/relationships/hyperlink" Target="https://support.office.com/pt-PT/article/overview-of-excel-tables-7ab0bb7d-3a9e-4b56-a3c9-6c94334e492c?ui=pt-PT&amp;rs=en-001&amp;ad=us" TargetMode="External"/><Relationship Id="rId2" Type="http://schemas.openxmlformats.org/officeDocument/2006/relationships/hyperlink" Target="#'7. Listas pendentes'!A1"/><Relationship Id="rId16" Type="http://schemas.openxmlformats.org/officeDocument/2006/relationships/hyperlink" Target="https://support.office.com/pt-PT/article/use-calculated-columns-in-an-excel-table-873fbac6-7110-4300-8f6f-aafa2ea11ce8?ui=pt-PT&amp;rs=en-001&amp;ad=us" TargetMode="External"/><Relationship Id="rId1" Type="http://schemas.openxmlformats.org/officeDocument/2006/relationships/hyperlink" Target="#'6. Tabelas'!A62"/><Relationship Id="rId6" Type="http://schemas.openxmlformats.org/officeDocument/2006/relationships/image" Target="../media/image11.png"/><Relationship Id="rId11" Type="http://schemas.openxmlformats.org/officeDocument/2006/relationships/hyperlink" Target="#'6. Tabelas'!A1"/><Relationship Id="rId5" Type="http://schemas.openxmlformats.org/officeDocument/2006/relationships/image" Target="../media/image6.svg"/><Relationship Id="rId15" Type="http://schemas.openxmlformats.org/officeDocument/2006/relationships/hyperlink" Target="https://support.office.com/pt-PT/article/total-the-data-in-an-excel-table-6944378f-a222-4449-93d8-474386b11f20?ui=pt-PT&amp;rs=en-001&amp;ad=us" TargetMode="External"/><Relationship Id="rId10" Type="http://schemas.openxmlformats.org/officeDocument/2006/relationships/image" Target="../media/image30.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support.office.com/pt-PT/article/create-a-drop-down-list-7693307a-59ef-400a-b769-c5402dce407b?ui=pt-PT&amp;rs=en-001&amp;ad=us" TargetMode="External"/><Relationship Id="rId3" Type="http://schemas.openxmlformats.org/officeDocument/2006/relationships/image" Target="../media/image31.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isar'!A1"/><Relationship Id="rId1" Type="http://schemas.openxmlformats.org/officeDocument/2006/relationships/hyperlink" Target="#'7. Listas pendente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support.office.com/pt-PT/article/apply-data-validation-to-cells-29fecbcc-d1b9-42c1-9d76-eff3ce5f7249?ui=pt-PT&amp;rs=en-001&amp;ad=us" TargetMode="External"/><Relationship Id="rId4" Type="http://schemas.openxmlformats.org/officeDocument/2006/relationships/image" Target="../media/image32.png"/><Relationship Id="rId9" Type="http://schemas.openxmlformats.org/officeDocument/2006/relationships/hyperlink" Target="#'7. Listas pendentes'!A1"/></Relationships>
</file>

<file path=xl/drawings/_rels/drawing9.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hyperlink" Target="https://support.office.com/pt-PT/article/analyze-your-data-instantly-9e382e73-7f5e-495a-a8dc-be8225b1bb78?ui=pt-PT&amp;rs=en-001&amp;ad=us" TargetMode="External"/><Relationship Id="rId7" Type="http://schemas.openxmlformats.org/officeDocument/2006/relationships/hyperlink" Target="#'8. Analisar'!A62"/><Relationship Id="rId2" Type="http://schemas.openxmlformats.org/officeDocument/2006/relationships/hyperlink" Target="#'9. Gr&#225;ficos'!A1"/><Relationship Id="rId1" Type="http://schemas.openxmlformats.org/officeDocument/2006/relationships/hyperlink" Target="#'8. Analisar'!A1"/><Relationship Id="rId6" Type="http://schemas.openxmlformats.org/officeDocument/2006/relationships/hyperlink" Target="https://support.office.com/pt-PT/article/analyze-trends-in-data-using-sparklines-be6579cf-a8e3-471a-a459-873614413ce1?ui=pt-PT&amp;rs=en-001&amp;ad=us"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pt-PT/article/create-a-chart-from-start-to-finish-0baf399e-dd61-4e18-8a73-b3fd5d5680c2?ui=pt-PT&amp;rs=en-001&amp;ad=us" TargetMode="External"/><Relationship Id="rId3" Type="http://schemas.openxmlformats.org/officeDocument/2006/relationships/hyperlink" Target="#'9. Gr&#225;ficos'!A62"/><Relationship Id="rId7" Type="http://schemas.openxmlformats.org/officeDocument/2006/relationships/hyperlink" Target="#'9. Gr&#225;ficos'!A1"/><Relationship Id="rId12" Type="http://schemas.openxmlformats.org/officeDocument/2006/relationships/hyperlink" Target="https://support.office.com/pt-PT/article/available-chart-types-in-office-a6187218-807e-4103-9e0a-27cdb19afb90?ui=pt-PT&amp;rs=en-001&amp;ad=us"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support.office.com/pt-PT/article/add-or-remove-a-secondary-axis-in-a-chart-in-excel-91da1e2f-5db1-41e9-8908-e1a2e14dd5a9?redirectsourcepath=%2farticle%2f1d119e2d-1a5f-45a4-8ad3-bacc7430c0a1&amp;ui=pt-PT&amp;rs=en-001&amp;ad=us"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Tabelas Din&#226;mica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pt-PT/article/use-the-field-list-to-arrange-fields-in-a-pivottable-43980e05-a585-4fcd-bd91-80160adfebec?ui=pt-PT&amp;rs=en-001&amp;ad=us" TargetMode="External"/><Relationship Id="rId3" Type="http://schemas.openxmlformats.org/officeDocument/2006/relationships/image" Target="../media/image34.png"/><Relationship Id="rId7" Type="http://schemas.openxmlformats.org/officeDocument/2006/relationships/image" Target="../media/image4.svg"/><Relationship Id="rId2" Type="http://schemas.openxmlformats.org/officeDocument/2006/relationships/hyperlink" Target="#'Saiba mais'!A1"/><Relationship Id="rId1" Type="http://schemas.openxmlformats.org/officeDocument/2006/relationships/hyperlink" Target="#'10. Tabelas Din&#226;micas'!A62"/><Relationship Id="rId6" Type="http://schemas.openxmlformats.org/officeDocument/2006/relationships/image" Target="../media/image3.png"/><Relationship Id="rId5" Type="http://schemas.openxmlformats.org/officeDocument/2006/relationships/hyperlink" Target="https://support.office.com/pt-PT/article/create-a-pivottable-to-analyze-worksheet-data-a9a84538-bfe9-40a9-a8e9-f99134456576?ui=pt-PT&amp;rs=en-001&amp;ad=us" TargetMode="External"/><Relationship Id="rId4" Type="http://schemas.openxmlformats.org/officeDocument/2006/relationships/hyperlink" Target="#'10. Tabelas Din&#226;micas'!A1"/></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pt-PT/article/what-s-new-in-excel-for-office-365-5fdb9208-ff33-45b6-9e08-1f5cdb3a6c73?ui=pt-PT&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image" Target="../media/image35.png"/><Relationship Id="rId6" Type="http://schemas.openxmlformats.org/officeDocument/2006/relationships/image" Target="../media/image38.svg"/><Relationship Id="rId5" Type="http://schemas.openxmlformats.org/officeDocument/2006/relationships/image" Target="../media/image37.png"/><Relationship Id="rId4"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Imagem 1" descr="Logótipo do Exce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686550" y="4641850"/>
    <xdr:ext cx="1446657" cy="514350"/>
    <xdr:sp macro="" textlink="">
      <xdr:nvSpPr>
        <xdr:cNvPr id="3" name="Botão Seguinte" descr="Forma de botão com hiperligação para aceder ao passo seguinte">
          <a:hlinkClick xmlns:r="http://schemas.openxmlformats.org/officeDocument/2006/relationships" r:id="rId2" tooltip="Selecione para iniciar a apresentação"/>
          <a:extLst>
            <a:ext uri="{FF2B5EF4-FFF2-40B4-BE49-F238E27FC236}">
              <a16:creationId xmlns:a16="http://schemas.microsoft.com/office/drawing/2014/main" id="{00000000-0008-0000-0000-000003000000}"/>
            </a:ext>
          </a:extLst>
        </xdr:cNvPr>
        <xdr:cNvSpPr/>
      </xdr:nvSpPr>
      <xdr:spPr>
        <a:xfrm>
          <a:off x="6686550" y="4641850"/>
          <a:ext cx="144665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p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87556</xdr:colOff>
      <xdr:row>40</xdr:row>
      <xdr:rowOff>89000</xdr:rowOff>
    </xdr:from>
    <xdr:to>
      <xdr:col>6</xdr:col>
      <xdr:colOff>500487</xdr:colOff>
      <xdr:row>41</xdr:row>
      <xdr:rowOff>86653</xdr:rowOff>
    </xdr:to>
    <xdr:pic>
      <xdr:nvPicPr>
        <xdr:cNvPr id="2" name="Gráfico de barra de estado" descr="Total do gráfico de barra de estado: 17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xdr:blipFill>
      <xdr:spPr>
        <a:xfrm>
          <a:off x="8479081" y="8280500"/>
          <a:ext cx="1003481" cy="188153"/>
        </a:xfrm>
        <a:prstGeom prst="rect">
          <a:avLst/>
        </a:prstGeom>
      </xdr:spPr>
    </xdr:pic>
    <xdr:clientData/>
  </xdr:twoCellAnchor>
  <xdr:twoCellAnchor editAs="oneCell">
    <xdr:from>
      <xdr:col>0</xdr:col>
      <xdr:colOff>323850</xdr:colOff>
      <xdr:row>85</xdr:row>
      <xdr:rowOff>9525</xdr:rowOff>
    </xdr:from>
    <xdr:to>
      <xdr:col>1</xdr:col>
      <xdr:colOff>5172075</xdr:colOff>
      <xdr:row>105</xdr:row>
      <xdr:rowOff>63500</xdr:rowOff>
    </xdr:to>
    <xdr:grpSp>
      <xdr:nvGrpSpPr>
        <xdr:cNvPr id="5" name="Mais Informações na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73525"/>
          <a:ext cx="5716905" cy="3863975"/>
          <a:chOff x="323850" y="16837043"/>
          <a:chExt cx="5737224" cy="3702054"/>
        </a:xfrm>
      </xdr:grpSpPr>
      <xdr:sp macro="" textlink="">
        <xdr:nvSpPr>
          <xdr:cNvPr id="140" name="Retângulo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1" name="Passo" descr="Mais informações na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Conexão Reta 141" descr="Linha decorativa">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Botão Seguinte" descr="Voltar ao início, com hiperligação para a célula A1">
            <a:hlinkClick xmlns:r="http://schemas.openxmlformats.org/officeDocument/2006/relationships" r:id="rId2" tooltip="Selecione para voltar à célula A1 nesta folha de cálculo"/>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44" name="Conexão Reta 143" descr="Linha decorativa">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Botão Seguinte" descr="Botão Passo seguinte, com hiperligação para a folha de cálculo seguinte">
            <a:hlinkClick xmlns:r="http://schemas.openxmlformats.org/officeDocument/2006/relationships" r:id="rId3" tooltip="Selecione para ir para o passo seguinte"/>
            <a:extLst>
              <a:ext uri="{FF2B5EF4-FFF2-40B4-BE49-F238E27FC236}">
                <a16:creationId xmlns:a16="http://schemas.microsoft.com/office/drawing/2014/main" id="{00000000-0008-0000-0100-000091000000}"/>
              </a:ext>
            </a:extLst>
          </xdr:cNvPr>
          <xdr:cNvSpPr/>
        </xdr:nvSpPr>
        <xdr:spPr>
          <a:xfrm>
            <a:off x="4430092" y="19942951"/>
            <a:ext cx="1381539"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46" name="Passo" descr="Tudo sobre a função SOMA, com hiperligação para a Web&#10;&#10;">
            <a:hlinkClick xmlns:r="http://schemas.openxmlformats.org/officeDocument/2006/relationships" r:id="rId4" tooltip="Selecione para aceder à Web e saber tudo sobre a função SOMA"/>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SOMA</a:t>
            </a:r>
          </a:p>
        </xdr:txBody>
      </xdr:sp>
      <xdr:pic>
        <xdr:nvPicPr>
          <xdr:cNvPr id="147" name="Gráfico 22" descr="Seta">
            <a:hlinkClick xmlns:r="http://schemas.openxmlformats.org/officeDocument/2006/relationships" r:id="rId4" tooltip="Selecione para obter mais informações na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Passo" descr="Tudo sobre a função SOMA.SE, com hiperligação para a Web&#10;">
            <a:hlinkClick xmlns:r="http://schemas.openxmlformats.org/officeDocument/2006/relationships" r:id="rId7" tooltip="Selecione para aceder à Web e saber tudo sobre a função SOMA.SE"/>
            <a:extLst>
              <a:ext uri="{FF2B5EF4-FFF2-40B4-BE49-F238E27FC236}">
                <a16:creationId xmlns:a16="http://schemas.microsoft.com/office/drawing/2014/main" id="{00000000-0008-0000-0100-000094000000}"/>
              </a:ext>
            </a:extLst>
          </xdr:cNvPr>
          <xdr:cNvSpPr txBox="1"/>
        </xdr:nvSpPr>
        <xdr:spPr>
          <a:xfrm>
            <a:off x="1003908" y="18058397"/>
            <a:ext cx="2994451"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SOMA.SE</a:t>
            </a:r>
          </a:p>
        </xdr:txBody>
      </xdr:sp>
      <xdr:pic>
        <xdr:nvPicPr>
          <xdr:cNvPr id="149"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Passo" descr="Utilizar o Excel como uma calculadora, com hiperligação para a Web&#10;">
            <a:hlinkClick xmlns:r="http://schemas.openxmlformats.org/officeDocument/2006/relationships" r:id="rId8" tooltip="Selecione para aceder à Web e saber como utilizar o Excel como uma calculadora"/>
            <a:extLst>
              <a:ext uri="{FF2B5EF4-FFF2-40B4-BE49-F238E27FC236}">
                <a16:creationId xmlns:a16="http://schemas.microsoft.com/office/drawing/2014/main" id="{00000000-0008-0000-0100-000096000000}"/>
              </a:ext>
            </a:extLst>
          </xdr:cNvPr>
          <xdr:cNvSpPr txBox="1"/>
        </xdr:nvSpPr>
        <xdr:spPr>
          <a:xfrm>
            <a:off x="1003908" y="18506516"/>
            <a:ext cx="2898511"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o Excel como uma calculadora</a:t>
            </a:r>
          </a:p>
        </xdr:txBody>
      </xdr:sp>
      <xdr:pic>
        <xdr:nvPicPr>
          <xdr:cNvPr id="151"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Passo" descr="Formação online gratuita do Excel, com hiperligação para a Web&#10;">
            <a:hlinkClick xmlns:r="http://schemas.openxmlformats.org/officeDocument/2006/relationships" r:id="rId9" tooltip="Selecione para aceder à Web e obter formação online gratuita do Excel"/>
            <a:extLst>
              <a:ext uri="{FF2B5EF4-FFF2-40B4-BE49-F238E27FC236}">
                <a16:creationId xmlns:a16="http://schemas.microsoft.com/office/drawing/2014/main" id="{00000000-0008-0000-0100-000099000000}"/>
              </a:ext>
            </a:extLst>
          </xdr:cNvPr>
          <xdr:cNvSpPr txBox="1"/>
        </xdr:nvSpPr>
        <xdr:spPr>
          <a:xfrm>
            <a:off x="1016608" y="18952686"/>
            <a:ext cx="2578803"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54"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0</xdr:colOff>
      <xdr:row>87</xdr:row>
      <xdr:rowOff>130175</xdr:rowOff>
    </xdr:to>
    <xdr:grpSp>
      <xdr:nvGrpSpPr>
        <xdr:cNvPr id="9" name="INFORMAÇÕES ÚTEIS" descr="INFORMAÇÕES ÚTEIS&#10;Faça duplo clique na célula e verá que a fórmula é diferente. Especificamente, o critério de soma é &quot;&gt;=50&quot;, que significa maior do que ou igual a 50. Existem outros operadores que pode utilizar, como &quot;&lt;=50&quot;, que significa menor do que ou igual a 50. Também pode utilizar &quot;&lt;&gt;50&quot;, que significa diferente de 50. &#10;">
          <a:extLst>
            <a:ext uri="{FF2B5EF4-FFF2-40B4-BE49-F238E27FC236}">
              <a16:creationId xmlns:a16="http://schemas.microsoft.com/office/drawing/2014/main" id="{00000000-0008-0000-0100-000009000000}"/>
            </a:ext>
          </a:extLst>
        </xdr:cNvPr>
        <xdr:cNvGrpSpPr/>
      </xdr:nvGrpSpPr>
      <xdr:grpSpPr>
        <a:xfrm>
          <a:off x="6657975" y="15425865"/>
          <a:ext cx="3408045" cy="1849310"/>
          <a:chOff x="6778625" y="15514765"/>
          <a:chExt cx="3432175" cy="1776285"/>
        </a:xfrm>
      </xdr:grpSpPr>
      <xdr:sp macro="" textlink="">
        <xdr:nvSpPr>
          <xdr:cNvPr id="134" name="Passo" descr="INFORMAÇÕES ÚTEIS&#10;Faça duplo clique na célula e verá que a fórmula é diferente. Especificamente, o critério de soma é &quot;&gt;=50&quot;, que significa maior do que ou igual a 50. Existem outros operadores que pode utilizar, como &quot;&lt;=50&quot;, que significa menor do que ou igual a 50. Também pode utilizar &quot;&lt;&gt;50&quot;, que significa diferente de 50. &#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na célula e verá que a fórmula é diferente. Especificamente, o critério de soma é "&gt;=50", que significa </a:t>
            </a:r>
            <a:r>
              <a:rPr lang="pt-pt" sz="1100" b="0" i="1" kern="1200" baseline="0">
                <a:solidFill>
                  <a:schemeClr val="dk1"/>
                </a:solidFill>
                <a:effectLst/>
                <a:latin typeface="+mn-lt"/>
                <a:ea typeface="+mn-ea"/>
                <a:cs typeface="+mn-cs"/>
              </a:rPr>
              <a:t>maior do que ou igual a 50</a:t>
            </a:r>
            <a:r>
              <a:rPr lang="pt-pt" sz="1100" b="0" i="0" kern="1200" baseline="0">
                <a:solidFill>
                  <a:schemeClr val="dk1"/>
                </a:solidFill>
                <a:effectLst/>
                <a:latin typeface="+mn-lt"/>
                <a:ea typeface="+mn-ea"/>
                <a:cs typeface="+mn-cs"/>
              </a:rPr>
              <a:t>. Existem outros operadores que pode utilizar, como "&lt;=50", que significa</a:t>
            </a:r>
            <a:r>
              <a:rPr lang="pt-pt" sz="1100" b="0" i="1" kern="1200" baseline="0">
                <a:solidFill>
                  <a:schemeClr val="dk1"/>
                </a:solidFill>
                <a:effectLst/>
                <a:latin typeface="+mn-lt"/>
                <a:ea typeface="+mn-ea"/>
                <a:cs typeface="+mn-cs"/>
              </a:rPr>
              <a:t> menor do que ou igual a</a:t>
            </a:r>
            <a:r>
              <a:rPr lang="pt-pt" sz="1100" b="0" i="0" kern="1200" baseline="0">
                <a:solidFill>
                  <a:schemeClr val="dk1"/>
                </a:solidFill>
                <a:effectLst/>
                <a:latin typeface="+mn-lt"/>
                <a:ea typeface="+mn-ea"/>
                <a:cs typeface="+mn-cs"/>
              </a:rPr>
              <a:t> 50. Também pode utilizar "&lt;&gt;50", que significa </a:t>
            </a:r>
            <a:r>
              <a:rPr lang="pt-pt" sz="1100" b="0" i="1" kern="1200" baseline="0">
                <a:solidFill>
                  <a:schemeClr val="dk1"/>
                </a:solidFill>
                <a:effectLst/>
                <a:latin typeface="+mn-lt"/>
                <a:ea typeface="+mn-ea"/>
                <a:cs typeface="+mn-cs"/>
              </a:rPr>
              <a:t>diferente de 50</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áfico 147" descr="Óculo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orma Livre: Forma 136" descr="Seta">
            <a:extLst>
              <a:ext uri="{FF2B5EF4-FFF2-40B4-BE49-F238E27FC236}">
                <a16:creationId xmlns:a16="http://schemas.microsoft.com/office/drawing/2014/main" id="{00000000-0008-0000-0100-000089000000}"/>
              </a:ext>
            </a:extLst>
          </xdr:cNvPr>
          <xdr:cNvSpPr/>
        </xdr:nvSpPr>
        <xdr:spPr>
          <a:xfrm rot="5953034" flipV="1">
            <a:off x="9077542"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ais informações sobre a função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716905" cy="3673037"/>
          <a:chOff x="347872" y="13364013"/>
          <a:chExt cx="5695950" cy="3673037"/>
        </a:xfrm>
      </xdr:grpSpPr>
      <xdr:sp macro="" textlink="">
        <xdr:nvSpPr>
          <xdr:cNvPr id="106" name="Retângulo 105" descr="Fundo">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7" name="Conexão Reta 106" descr="Linha decorativa">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Conexão Reta 107" descr="Linha decorativa">
            <a:extLst>
              <a:ext uri="{FF2B5EF4-FFF2-40B4-BE49-F238E27FC236}">
                <a16:creationId xmlns:a16="http://schemas.microsoft.com/office/drawing/2014/main" id="{00000000-0008-0000-0100-00006C000000}"/>
              </a:ext>
            </a:extLst>
          </xdr:cNvPr>
          <xdr:cNvCxnSpPr>
            <a:cxnSpLocks/>
          </xdr:cNvCxnSpPr>
        </xdr:nvCxnSpPr>
        <xdr:spPr>
          <a:xfrm>
            <a:off x="579529" y="16908683"/>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Passo" descr="Mais informações sobre a função SOMA.SE">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a função SOMA.SE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Passo" descr="Também mostrámos a função SOMA.SE no início desta folha. A função SOMA.SE soma os totais com base num critério. Se a função SOMA.SE pudesse falar, diria:&#10;">
            <a:extLst>
              <a:ext uri="{FF2B5EF4-FFF2-40B4-BE49-F238E27FC236}">
                <a16:creationId xmlns:a16="http://schemas.microsoft.com/office/drawing/2014/main" id="{00000000-0008-0000-0100-00006E000000}"/>
              </a:ext>
            </a:extLst>
          </xdr:cNvPr>
          <xdr:cNvSpPr txBox="1"/>
        </xdr:nvSpPr>
        <xdr:spPr>
          <a:xfrm>
            <a:off x="553341" y="14086483"/>
            <a:ext cx="5342633" cy="56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mostrámos a função SOMA.SE no início desta folha. A função SOMA.SE soma os totais com base num critério.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 a função SOMA.SE pudesse falar, ela diria: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Passo" descr="NOTA: se achar que está a criar demasiadas fórmulas SOMA.SE, talvez uma Tabela Dinâmica seja uma melhor solução. Veja a folha de cálculo Tabela Dinâmica para obter mais informações.&#10;">
            <a:hlinkClick xmlns:r="http://schemas.openxmlformats.org/officeDocument/2006/relationships" r:id="rId12" tooltip="Selecione para aceder à folha de cálculo Tabela Dinâmica"/>
            <a:extLst>
              <a:ext uri="{FF2B5EF4-FFF2-40B4-BE49-F238E27FC236}">
                <a16:creationId xmlns:a16="http://schemas.microsoft.com/office/drawing/2014/main" id="{00000000-0008-0000-0100-00006F000000}"/>
              </a:ext>
            </a:extLst>
          </xdr:cNvPr>
          <xdr:cNvSpPr txBox="1"/>
        </xdr:nvSpPr>
        <xdr:spPr>
          <a:xfrm>
            <a:off x="553342" y="16198822"/>
            <a:ext cx="5303780" cy="698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achar</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a criar demasiadas fórmulas SOMA.SE, talvez uma tabela dinâmica seja uma melhor solução. </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Veja a folha de cálculo Tabela Dinâmica para obter mais informações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Caixa de texto 100" descr="=SOMA.SE(D73:D77;&quot;&gt;50&quot;)&#10;&#10;">
            <a:extLst>
              <a:ext uri="{FF2B5EF4-FFF2-40B4-BE49-F238E27FC236}">
                <a16:creationId xmlns:a16="http://schemas.microsoft.com/office/drawing/2014/main" id="{00000000-0008-0000-0100-000071000000}"/>
              </a:ext>
            </a:extLst>
          </xdr:cNvPr>
          <xdr:cNvSpPr txBox="1"/>
        </xdr:nvSpPr>
        <xdr:spPr>
          <a:xfrm>
            <a:off x="541774" y="15649276"/>
            <a:ext cx="3849251"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=SOMA.SE(D73:D77;"&gt;50")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114" name="Chaveta Esquerda 113">
            <a:extLst>
              <a:ext uri="{FF2B5EF4-FFF2-40B4-BE49-F238E27FC236}">
                <a16:creationId xmlns:a16="http://schemas.microsoft.com/office/drawing/2014/main" id="{00000000-0008-0000-0100-000072000000}"/>
              </a:ext>
            </a:extLst>
          </xdr:cNvPr>
          <xdr:cNvSpPr/>
        </xdr:nvSpPr>
        <xdr:spPr>
          <a:xfrm rot="5400000">
            <a:off x="1132289" y="15070775"/>
            <a:ext cx="197659" cy="1097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5" name="Caixa de Texto 2" descr="Some alguns valores com base neste critério:&#10;">
            <a:extLst>
              <a:ext uri="{FF2B5EF4-FFF2-40B4-BE49-F238E27FC236}">
                <a16:creationId xmlns:a16="http://schemas.microsoft.com/office/drawing/2014/main" id="{00000000-0008-0000-0100-000073000000}"/>
              </a:ext>
            </a:extLst>
          </xdr:cNvPr>
          <xdr:cNvSpPr txBox="1">
            <a:spLocks noChangeArrowheads="1"/>
          </xdr:cNvSpPr>
        </xdr:nvSpPr>
        <xdr:spPr bwMode="auto">
          <a:xfrm>
            <a:off x="740690"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116" name="Chaveta Esquerda 115">
            <a:extLst>
              <a:ext uri="{FF2B5EF4-FFF2-40B4-BE49-F238E27FC236}">
                <a16:creationId xmlns:a16="http://schemas.microsoft.com/office/drawing/2014/main" id="{00000000-0008-0000-0100-000074000000}"/>
              </a:ext>
            </a:extLst>
          </xdr:cNvPr>
          <xdr:cNvSpPr/>
        </xdr:nvSpPr>
        <xdr:spPr>
          <a:xfrm rot="5400000">
            <a:off x="2339380"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7" name="Caixa de Texto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807328"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...Procure nestas células...  </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Caixa de Texto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993761"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se o valor for superior a 50, some tudo.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Chaveta Esquerda 132">
            <a:extLst>
              <a:ext uri="{FF2B5EF4-FFF2-40B4-BE49-F238E27FC236}">
                <a16:creationId xmlns:a16="http://schemas.microsoft.com/office/drawing/2014/main" id="{00000000-0008-0000-0100-000085000000}"/>
              </a:ext>
            </a:extLst>
          </xdr:cNvPr>
          <xdr:cNvSpPr/>
        </xdr:nvSpPr>
        <xdr:spPr>
          <a:xfrm rot="5400000">
            <a:off x="34337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oneCell">
    <xdr:from>
      <xdr:col>2</xdr:col>
      <xdr:colOff>114300</xdr:colOff>
      <xdr:row>53</xdr:row>
      <xdr:rowOff>53967</xdr:rowOff>
    </xdr:from>
    <xdr:to>
      <xdr:col>7</xdr:col>
      <xdr:colOff>266700</xdr:colOff>
      <xdr:row>64</xdr:row>
      <xdr:rowOff>85724</xdr:rowOff>
    </xdr:to>
    <xdr:grpSp>
      <xdr:nvGrpSpPr>
        <xdr:cNvPr id="8" name="DETALHE IMPORTANTE" descr="DETALHE IMPORTANTE&#10;Faça duplo clique nesta célula. Verá o número 100 no fim.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fica oculta dentro de uma fórmula. &#10;">
          <a:extLst>
            <a:ext uri="{FF2B5EF4-FFF2-40B4-BE49-F238E27FC236}">
              <a16:creationId xmlns:a16="http://schemas.microsoft.com/office/drawing/2014/main" id="{00000000-0008-0000-0100-000008000000}"/>
            </a:ext>
          </a:extLst>
        </xdr:cNvPr>
        <xdr:cNvGrpSpPr/>
      </xdr:nvGrpSpPr>
      <xdr:grpSpPr>
        <a:xfrm>
          <a:off x="6667500" y="10721967"/>
          <a:ext cx="3665220" cy="2127257"/>
          <a:chOff x="6788150" y="10960177"/>
          <a:chExt cx="3714750" cy="2054600"/>
        </a:xfrm>
      </xdr:grpSpPr>
      <xdr:sp macro="" textlink="">
        <xdr:nvSpPr>
          <xdr:cNvPr id="99" name="Instrução" descr="DETALHE IMPORTANTE&#10;Faça duplo clique nesta célula. Verá o número 100 no fim.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fica oculta dentro de uma fórmula. &#10;">
            <a:extLst>
              <a:ext uri="{FF2B5EF4-FFF2-40B4-BE49-F238E27FC236}">
                <a16:creationId xmlns:a16="http://schemas.microsoft.com/office/drawing/2014/main" id="{00000000-0008-0000-0100-000063000000}"/>
              </a:ext>
            </a:extLst>
          </xdr:cNvPr>
          <xdr:cNvSpPr txBox="1"/>
        </xdr:nvSpPr>
        <xdr:spPr>
          <a:xfrm>
            <a:off x="7073900" y="11363324"/>
            <a:ext cx="3429000" cy="1651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nesta célula. Verá o número </a:t>
            </a:r>
            <a:r>
              <a:rPr lang="pt-pt" sz="1100" b="0" i="1" kern="1200" baseline="0">
                <a:solidFill>
                  <a:schemeClr val="dk1"/>
                </a:solidFill>
                <a:effectLst/>
                <a:latin typeface="+mn-lt"/>
                <a:ea typeface="+mn-ea"/>
                <a:cs typeface="+mn-cs"/>
              </a:rPr>
              <a:t>100</a:t>
            </a:r>
            <a:r>
              <a:rPr lang="pt-pt" sz="1100" b="0" i="0" kern="1200" baseline="0">
                <a:solidFill>
                  <a:schemeClr val="dk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dk1"/>
                </a:solidFill>
                <a:effectLst/>
                <a:latin typeface="+mn-lt"/>
                <a:ea typeface="+mn-ea"/>
                <a:cs typeface="+mn-cs"/>
              </a:rPr>
              <a:t>constante</a:t>
            </a:r>
            <a:r>
              <a:rPr lang="pt-pt" sz="1100" b="0" i="0" kern="1200" baseline="0">
                <a:solidFill>
                  <a:schemeClr val="dk1"/>
                </a:solidFill>
                <a:effectLst/>
                <a:latin typeface="+mn-lt"/>
                <a:ea typeface="+mn-ea"/>
                <a:cs typeface="+mn-cs"/>
              </a:rPr>
              <a:t> e é fácil esquecer-se de que está lá. Recomendamos que faça antes referência a outra célula, como a célula D16. Dessa forma, é vista facilmente e não fica oculta dentro de uma fórmula. </a:t>
            </a:r>
            <a:endParaRPr lang="en-US" sz="1100">
              <a:effectLst/>
            </a:endParaRPr>
          </a:p>
        </xdr:txBody>
      </xdr:sp>
      <xdr:pic>
        <xdr:nvPicPr>
          <xdr:cNvPr id="102" name="Lupa" descr="Lupa">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Seta" descr="Seta">
            <a:extLst>
              <a:ext uri="{FF2B5EF4-FFF2-40B4-BE49-F238E27FC236}">
                <a16:creationId xmlns:a16="http://schemas.microsoft.com/office/drawing/2014/main" id="{00000000-0008-0000-0100-000062000000}"/>
              </a:ext>
            </a:extLst>
          </xdr:cNvPr>
          <xdr:cNvSpPr/>
        </xdr:nvSpPr>
        <xdr:spPr>
          <a:xfrm rot="3874191">
            <a:off x="8497508"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3</xdr:col>
      <xdr:colOff>836094</xdr:colOff>
      <xdr:row>36</xdr:row>
      <xdr:rowOff>82549</xdr:rowOff>
    </xdr:from>
    <xdr:to>
      <xdr:col>8</xdr:col>
      <xdr:colOff>219073</xdr:colOff>
      <xdr:row>44</xdr:row>
      <xdr:rowOff>152400</xdr:rowOff>
    </xdr:to>
    <xdr:grpSp>
      <xdr:nvGrpSpPr>
        <xdr:cNvPr id="12" name="EXPERIMENTE ISTO" descr="Selecione estas células. Em seguida, no canto inferior direito da janela do Excel, procure isto:&#10;Soma: 170&#10;É mais uma forma de calcular rapidamente um total. ">
          <a:extLst>
            <a:ext uri="{FF2B5EF4-FFF2-40B4-BE49-F238E27FC236}">
              <a16:creationId xmlns:a16="http://schemas.microsoft.com/office/drawing/2014/main" id="{00000000-0008-0000-0100-00000C000000}"/>
            </a:ext>
          </a:extLst>
        </xdr:cNvPr>
        <xdr:cNvGrpSpPr/>
      </xdr:nvGrpSpPr>
      <xdr:grpSpPr>
        <a:xfrm>
          <a:off x="7998894" y="7512049"/>
          <a:ext cx="2895799" cy="1593851"/>
          <a:chOff x="7539454" y="7993902"/>
          <a:chExt cx="2811374" cy="1593851"/>
        </a:xfrm>
      </xdr:grpSpPr>
      <xdr:grpSp>
        <xdr:nvGrpSpPr>
          <xdr:cNvPr id="119" name="Linhas de chaveta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Outra linha de chavetas" descr="Linha de chavetas">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1" name="Linha de chavetas" descr="Linha de chavetas&#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97" name="Estrelas" descr="Estrela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11498" y="8038700"/>
            <a:ext cx="388098" cy="337815"/>
          </a:xfrm>
          <a:prstGeom prst="rect">
            <a:avLst/>
          </a:prstGeom>
        </xdr:spPr>
      </xdr:pic>
      <xdr:sp macro="" textlink="">
        <xdr:nvSpPr>
          <xdr:cNvPr id="96" name="Instruções" descr="EXPERIMENTE ISTO&#10;Selecione estas células. Em seguida, no canto inferior direito da janela do Excel, procure isto:&#10;Soma: 170&#10;É mais uma forma de calcular rapidamente um total. ">
            <a:extLst>
              <a:ext uri="{FF2B5EF4-FFF2-40B4-BE49-F238E27FC236}">
                <a16:creationId xmlns:a16="http://schemas.microsoft.com/office/drawing/2014/main" id="{00000000-0008-0000-0100-000060000000}"/>
              </a:ext>
            </a:extLst>
          </xdr:cNvPr>
          <xdr:cNvSpPr txBox="1"/>
        </xdr:nvSpPr>
        <xdr:spPr>
          <a:xfrm>
            <a:off x="8142116" y="7993902"/>
            <a:ext cx="2208712" cy="159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bg2">
                    <a:lumMod val="25000"/>
                  </a:schemeClr>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bg2">
                    <a:lumMod val="25000"/>
                  </a:schemeClr>
                </a:solidFill>
                <a:latin typeface="+mn-lt"/>
                <a:ea typeface="Segoe UI" pitchFamily="34" charset="0"/>
                <a:cs typeface="Segoe UI Light" panose="020B0502040204020203" pitchFamily="34" charset="0"/>
              </a:rPr>
              <a:t>É mais uma forma de calcular rapidamente um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ais informações sobre a função SOMA"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716905" cy="7225862"/>
          <a:chOff x="346284" y="5905938"/>
          <a:chExt cx="5737225" cy="6997262"/>
        </a:xfrm>
      </xdr:grpSpPr>
      <xdr:sp macro="" textlink="">
        <xdr:nvSpPr>
          <xdr:cNvPr id="53" name="Retângulo 52" descr="Fundo">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54" name="Conexão Reta 53" descr="Linha decorativa">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xão Reta 54" descr="Linha decorativa">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Passo" descr="Mais informações sobre a função SOMA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a função SOMA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Passo"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275825"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algumas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sugestões acima, mostrámos como utilizar a função SOMA. Eis mais detalhes acerca desta função. Faça duplo clique numa célula amarela à direita e, em seguida, leia o texto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abaixo.</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 função SOMA pudesse falar, ela diria: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Passo" descr="Esta é outra forma de como pode ser utilizada:&#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Esta é outra forma de como pode ser utilizada:</a:t>
            </a:r>
          </a:p>
        </xdr:txBody>
      </xdr:sp>
      <xdr:grpSp>
        <xdr:nvGrpSpPr>
          <xdr:cNvPr id="79" name="Grupo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Caixa de texto 100" descr="=SOMA(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=SOMA(D38:D41) </a:t>
              </a:r>
              <a:endParaRPr lang="en-US" sz="2000">
                <a:effectLst/>
                <a:latin typeface="Courier New" panose="02070309020205020404" pitchFamily="49" charset="0"/>
                <a:ea typeface="Times New Roman" panose="02020603050405020304" pitchFamily="18" charset="0"/>
              </a:endParaRPr>
            </a:p>
          </xdr:txBody>
        </xdr:sp>
        <xdr:sp macro="" textlink="">
          <xdr:nvSpPr>
            <xdr:cNvPr id="75" name="Chaveta Esquerda 74">
              <a:extLst>
                <a:ext uri="{FF2B5EF4-FFF2-40B4-BE49-F238E27FC236}">
                  <a16:creationId xmlns:a16="http://schemas.microsoft.com/office/drawing/2014/main" id="{00000000-0008-0000-0100-00004B000000}"/>
                </a:ext>
              </a:extLst>
            </xdr:cNvPr>
            <xdr:cNvSpPr/>
          </xdr:nvSpPr>
          <xdr:spPr>
            <a:xfrm rot="5400000">
              <a:off x="1427223" y="8814260"/>
              <a:ext cx="196065" cy="63660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6" name="Caixa de Texto 2" descr="Some o seguinte:&#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os seguintes:</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Chaveta Esquerda 76">
              <a:extLst>
                <a:ext uri="{FF2B5EF4-FFF2-40B4-BE49-F238E27FC236}">
                  <a16:creationId xmlns:a16="http://schemas.microsoft.com/office/drawing/2014/main" id="{00000000-0008-0000-0100-00004D000000}"/>
                </a:ext>
              </a:extLst>
            </xdr:cNvPr>
            <xdr:cNvSpPr/>
          </xdr:nvSpPr>
          <xdr:spPr>
            <a:xfrm rot="5400000">
              <a:off x="2408060"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8" name="Caixa de Texto 2" descr="...os valores nas células D38, D39, D40 e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...os valores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a:t>
              </a:r>
              <a:r>
                <a:rPr lang="pt-pt" sz="1100">
                  <a:effectLst/>
                  <a:latin typeface="Calibri" panose="020F0502020204030204" pitchFamily="34" charset="0"/>
                  <a:ea typeface="Calibri" panose="020F0502020204030204" pitchFamily="34" charset="0"/>
                  <a:cs typeface="Times New Roman" panose="02020603050405020304" pitchFamily="18" charset="0"/>
                </a:rPr>
                <a:t> </a:t>
              </a:r>
              <a:r>
                <a:rPr lang="pt-pt" sz="1100" baseline="0">
                  <a:effectLst/>
                  <a:latin typeface="Calibri" panose="020F0502020204030204" pitchFamily="34" charset="0"/>
                  <a:ea typeface="Calibri" panose="020F0502020204030204" pitchFamily="34" charset="0"/>
                  <a:cs typeface="Times New Roman" panose="02020603050405020304" pitchFamily="18" charset="0"/>
                </a:rPr>
                <a:t>nas células D38, D39, D40 e D41.</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upo 104">
            <a:extLst>
              <a:ext uri="{FF2B5EF4-FFF2-40B4-BE49-F238E27FC236}">
                <a16:creationId xmlns:a16="http://schemas.microsoft.com/office/drawing/2014/main" id="{00000000-0008-0000-0100-000069000000}"/>
              </a:ext>
            </a:extLst>
          </xdr:cNvPr>
          <xdr:cNvGrpSpPr/>
        </xdr:nvGrpSpPr>
        <xdr:grpSpPr>
          <a:xfrm>
            <a:off x="457200" y="9577429"/>
            <a:ext cx="4927601" cy="1408555"/>
            <a:chOff x="457200" y="9727117"/>
            <a:chExt cx="4886326" cy="1455714"/>
          </a:xfrm>
        </xdr:grpSpPr>
        <xdr:sp macro="" textlink="">
          <xdr:nvSpPr>
            <xdr:cNvPr id="81" name="Caixa de texto 100" descr="=SOMA(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=SOMA(D48;G48:G51;100) </a:t>
              </a:r>
              <a:endParaRPr lang="en-US" sz="2000">
                <a:effectLst/>
                <a:latin typeface="Courier New" panose="02070309020205020404" pitchFamily="49" charset="0"/>
                <a:ea typeface="Times New Roman" panose="02020603050405020304" pitchFamily="18" charset="0"/>
              </a:endParaRPr>
            </a:p>
          </xdr:txBody>
        </xdr:sp>
        <xdr:grpSp>
          <xdr:nvGrpSpPr>
            <xdr:cNvPr id="82" name="Grupo 81">
              <a:extLst>
                <a:ext uri="{FF2B5EF4-FFF2-40B4-BE49-F238E27FC236}">
                  <a16:creationId xmlns:a16="http://schemas.microsoft.com/office/drawing/2014/main" id="{00000000-0008-0000-0100-000052000000}"/>
                </a:ext>
              </a:extLst>
            </xdr:cNvPr>
            <xdr:cNvGrpSpPr/>
          </xdr:nvGrpSpPr>
          <xdr:grpSpPr>
            <a:xfrm>
              <a:off x="485775" y="9744414"/>
              <a:ext cx="818417" cy="1065765"/>
              <a:chOff x="-363898" y="-198227"/>
              <a:chExt cx="1043235" cy="1181084"/>
            </a:xfrm>
          </xdr:grpSpPr>
          <xdr:sp macro="" textlink="">
            <xdr:nvSpPr>
              <xdr:cNvPr id="83" name="Chaveta Esquerda 82">
                <a:extLst>
                  <a:ext uri="{FF2B5EF4-FFF2-40B4-BE49-F238E27FC236}">
                    <a16:creationId xmlns:a16="http://schemas.microsoft.com/office/drawing/2014/main" id="{00000000-0008-0000-0100-000053000000}"/>
                  </a:ext>
                </a:extLst>
              </xdr:cNvPr>
              <xdr:cNvSpPr/>
            </xdr:nvSpPr>
            <xdr:spPr>
              <a:xfrm rot="5400000">
                <a:off x="173016" y="512156"/>
                <a:ext cx="242885" cy="69851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4" name="Caixa de Texto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98227"/>
                <a:ext cx="1043235"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upo 84">
              <a:extLst>
                <a:ext uri="{FF2B5EF4-FFF2-40B4-BE49-F238E27FC236}">
                  <a16:creationId xmlns:a16="http://schemas.microsoft.com/office/drawing/2014/main" id="{00000000-0008-0000-0100-000055000000}"/>
                </a:ext>
              </a:extLst>
            </xdr:cNvPr>
            <xdr:cNvGrpSpPr/>
          </xdr:nvGrpSpPr>
          <xdr:grpSpPr>
            <a:xfrm>
              <a:off x="1392159" y="9735725"/>
              <a:ext cx="733284" cy="1065768"/>
              <a:chOff x="-199890" y="-198227"/>
              <a:chExt cx="735230" cy="1181087"/>
            </a:xfrm>
          </xdr:grpSpPr>
          <xdr:sp macro="" textlink="">
            <xdr:nvSpPr>
              <xdr:cNvPr id="86" name="Chaveta Esquerda 85">
                <a:extLst>
                  <a:ext uri="{FF2B5EF4-FFF2-40B4-BE49-F238E27FC236}">
                    <a16:creationId xmlns:a16="http://schemas.microsoft.com/office/drawing/2014/main" id="{00000000-0008-0000-0100-000056000000}"/>
                  </a:ext>
                </a:extLst>
              </xdr:cNvPr>
              <xdr:cNvSpPr/>
            </xdr:nvSpPr>
            <xdr:spPr>
              <a:xfrm rot="5400000">
                <a:off x="-15292"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7" name="Caixa de Texto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98227"/>
                <a:ext cx="735230"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valor na célula D48...</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upo 87">
              <a:extLst>
                <a:ext uri="{FF2B5EF4-FFF2-40B4-BE49-F238E27FC236}">
                  <a16:creationId xmlns:a16="http://schemas.microsoft.com/office/drawing/2014/main" id="{00000000-0008-0000-0100-000058000000}"/>
                </a:ext>
              </a:extLst>
            </xdr:cNvPr>
            <xdr:cNvGrpSpPr/>
          </xdr:nvGrpSpPr>
          <xdr:grpSpPr>
            <a:xfrm>
              <a:off x="2090561" y="9727117"/>
              <a:ext cx="1145424" cy="1065767"/>
              <a:chOff x="-339294" y="-207669"/>
              <a:chExt cx="1146418" cy="1181086"/>
            </a:xfrm>
          </xdr:grpSpPr>
          <xdr:sp macro="" textlink="">
            <xdr:nvSpPr>
              <xdr:cNvPr id="89" name="Chaveta Esquerda 88">
                <a:extLst>
                  <a:ext uri="{FF2B5EF4-FFF2-40B4-BE49-F238E27FC236}">
                    <a16:creationId xmlns:a16="http://schemas.microsoft.com/office/drawing/2014/main" id="{00000000-0008-0000-0100-000059000000}"/>
                  </a:ext>
                </a:extLst>
              </xdr:cNvPr>
              <xdr:cNvSpPr/>
            </xdr:nvSpPr>
            <xdr:spPr>
              <a:xfrm rot="5400000">
                <a:off x="80252"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0" name="Caixa de Texto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2" y="-207669"/>
                <a:ext cx="996456"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...os valores nas células G48, G49, G50 e G51... </a:t>
                </a:r>
              </a:p>
            </xdr:txBody>
          </xdr:sp>
        </xdr:grpSp>
        <xdr:grpSp>
          <xdr:nvGrpSpPr>
            <xdr:cNvPr id="91" name="Grupo 90">
              <a:extLst>
                <a:ext uri="{FF2B5EF4-FFF2-40B4-BE49-F238E27FC236}">
                  <a16:creationId xmlns:a16="http://schemas.microsoft.com/office/drawing/2014/main" id="{00000000-0008-0000-0100-00005B000000}"/>
                </a:ext>
              </a:extLst>
            </xdr:cNvPr>
            <xdr:cNvGrpSpPr/>
          </xdr:nvGrpSpPr>
          <xdr:grpSpPr>
            <a:xfrm>
              <a:off x="3299448" y="9735734"/>
              <a:ext cx="538980" cy="1053580"/>
              <a:chOff x="127186" y="-198228"/>
              <a:chExt cx="539449" cy="1167710"/>
            </a:xfrm>
          </xdr:grpSpPr>
          <xdr:sp macro="" textlink="">
            <xdr:nvSpPr>
              <xdr:cNvPr id="92" name="Chaveta Esquerda 91">
                <a:extLst>
                  <a:ext uri="{FF2B5EF4-FFF2-40B4-BE49-F238E27FC236}">
                    <a16:creationId xmlns:a16="http://schemas.microsoft.com/office/drawing/2014/main" id="{00000000-0008-0000-0100-00005C000000}"/>
                  </a:ext>
                </a:extLst>
              </xdr:cNvPr>
              <xdr:cNvSpPr/>
            </xdr:nvSpPr>
            <xdr:spPr>
              <a:xfrm rot="5400000">
                <a:off x="248564"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3" name="Caixa de Texto 2" descr="...e 100&#10;">
                <a:extLst>
                  <a:ext uri="{FF2B5EF4-FFF2-40B4-BE49-F238E27FC236}">
                    <a16:creationId xmlns:a16="http://schemas.microsoft.com/office/drawing/2014/main" id="{00000000-0008-0000-0100-00005D000000}"/>
                  </a:ext>
                </a:extLst>
              </xdr:cNvPr>
              <xdr:cNvSpPr txBox="1">
                <a:spLocks noChangeArrowheads="1"/>
              </xdr:cNvSpPr>
            </xdr:nvSpPr>
            <xdr:spPr bwMode="auto">
              <a:xfrm>
                <a:off x="161898" y="-198228"/>
                <a:ext cx="504737"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100.</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Passo"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8"/>
            <a:ext cx="5342213" cy="1524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A fórmula acima utiliza o seguinte:</a:t>
            </a:r>
          </a:p>
          <a:p>
            <a:pPr rtl="0" eaLnBrk="1" fontAlgn="auto" latinLnBrk="0" hangingPunct="1"/>
            <a:endParaRPr lang="en-US"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endParaRPr>
          </a:p>
          <a:p>
            <a:pPr rtl="0" eaLnBrk="1" fontAlgn="auto" latinLnBrk="0" hangingPunct="1">
              <a:spcAft>
                <a:spcPts val="600"/>
              </a:spcAft>
            </a:pP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 </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referência de célula</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que é o "endereço" ou "nome" de uma célula. D48 é a referência de célula na fórmula acima. </a:t>
            </a:r>
          </a:p>
          <a:p>
            <a:pPr rtl="0" eaLnBrk="1" fontAlgn="auto" latinLnBrk="0" hangingPunct="1">
              <a:spcAft>
                <a:spcPts val="600"/>
              </a:spcAft>
            </a:pP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intervalo de células, que é uma série de células que começa numa célula e termina noutra.  G48:G51 é o intervalo de células na fórmula.</a:t>
            </a:r>
          </a:p>
          <a:p>
            <a:pPr rtl="0" eaLnBrk="1" fontAlgn="auto" latinLnBrk="0" hangingPunct="1">
              <a:spcAft>
                <a:spcPts val="600"/>
              </a:spcAft>
            </a:pP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 </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constante</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 constante nesta fórmula é o número 100. </a:t>
            </a:r>
            <a:endParaRPr lang="en-US" sz="1100">
              <a:solidFill>
                <a:schemeClr val="tx1">
                  <a:lumMod val="75000"/>
                  <a:lumOff val="25000"/>
                </a:schemeClr>
              </a:solidFill>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552450</xdr:colOff>
      <xdr:row>15</xdr:row>
      <xdr:rowOff>66675</xdr:rowOff>
    </xdr:from>
    <xdr:to>
      <xdr:col>10</xdr:col>
      <xdr:colOff>428625</xdr:colOff>
      <xdr:row>22</xdr:row>
      <xdr:rowOff>114299</xdr:rowOff>
    </xdr:to>
    <xdr:grpSp>
      <xdr:nvGrpSpPr>
        <xdr:cNvPr id="4" name="Grupo 3" descr="PONTOS EXTRA&#10;Experimente adicionar outra fórmula SOMA.SE aqui, mas adicione quantidades menores que 100. O resultado deverá ser 160.&#10;">
          <a:extLst>
            <a:ext uri="{FF2B5EF4-FFF2-40B4-BE49-F238E27FC236}">
              <a16:creationId xmlns:a16="http://schemas.microsoft.com/office/drawing/2014/main" id="{6B6FA3A9-A48D-4327-9039-63A2E8740C34}"/>
            </a:ext>
          </a:extLst>
        </xdr:cNvPr>
        <xdr:cNvGrpSpPr/>
      </xdr:nvGrpSpPr>
      <xdr:grpSpPr>
        <a:xfrm>
          <a:off x="9795510" y="3495675"/>
          <a:ext cx="2527935" cy="1381124"/>
          <a:chOff x="9048750" y="3743325"/>
          <a:chExt cx="2447925" cy="1381124"/>
        </a:xfrm>
      </xdr:grpSpPr>
      <xdr:sp macro="" textlink="">
        <xdr:nvSpPr>
          <xdr:cNvPr id="57" name="Passo" descr="PONTOS EXTRA&#10;Experimente adicionar outra fórmula SOMA.SE aqui, mas adicione quantidades menores que 100. O resultado deverá ser 160.&#10;">
            <a:extLst>
              <a:ext uri="{FF2B5EF4-FFF2-40B4-BE49-F238E27FC236}">
                <a16:creationId xmlns:a16="http://schemas.microsoft.com/office/drawing/2014/main" id="{00000000-0008-0000-0100-000039000000}"/>
              </a:ext>
            </a:extLst>
          </xdr:cNvPr>
          <xdr:cNvSpPr txBox="1"/>
        </xdr:nvSpPr>
        <xdr:spPr>
          <a:xfrm>
            <a:off x="9648643" y="3895724"/>
            <a:ext cx="184803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adicionar outra fórmula SOMA.SE aqui, mas adicione quantidades </a:t>
            </a:r>
            <a:r>
              <a:rPr lang="pt-pt" sz="1100" b="0" i="1" kern="1200" baseline="0">
                <a:solidFill>
                  <a:schemeClr val="dk1"/>
                </a:solidFill>
                <a:effectLst/>
                <a:latin typeface="+mn-lt"/>
                <a:ea typeface="+mn-ea"/>
                <a:cs typeface="+mn-cs"/>
              </a:rPr>
              <a:t>menores que</a:t>
            </a:r>
            <a:r>
              <a:rPr lang="pt-pt" sz="1100" b="0" i="0" kern="1200" baseline="0">
                <a:solidFill>
                  <a:schemeClr val="dk1"/>
                </a:solidFill>
                <a:effectLst/>
                <a:latin typeface="+mn-lt"/>
                <a:ea typeface="+mn-ea"/>
                <a:cs typeface="+mn-cs"/>
              </a:rPr>
              <a:t> 100. O resultado deverá ser 160.</a:t>
            </a:r>
          </a:p>
        </xdr:txBody>
      </xdr:sp>
      <xdr:pic>
        <xdr:nvPicPr>
          <xdr:cNvPr id="58" name="Fita de pontos extra" descr="Fita decorativa">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Seta de Pontos Extra" descr="Seta">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Some números como um perito"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716905" cy="4572000"/>
          <a:chOff x="326572" y="266702"/>
          <a:chExt cx="5705475" cy="4657728"/>
        </a:xfrm>
      </xdr:grpSpPr>
      <xdr:grpSp>
        <xdr:nvGrpSpPr>
          <xdr:cNvPr id="16" name="Instrução para somar números">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Fundo" descr="Fundo">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39" name="Passo" descr="Some números como um perito">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Some números como um perito</a:t>
              </a:r>
            </a:p>
          </xdr:txBody>
        </xdr:sp>
        <xdr:sp macro="" textlink="">
          <xdr:nvSpPr>
            <xdr:cNvPr id="41" name="Botão para ver mais detalhes" descr="Desça para ver mais detalhes">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42" name="Linha inferior" descr="Linha decorativa">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Botão Seguinte" descr="Botão Passo seguinte, com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100-00002B000000}"/>
                </a:ext>
              </a:extLst>
            </xdr:cNvPr>
            <xdr:cNvSpPr/>
          </xdr:nvSpPr>
          <xdr:spPr>
            <a:xfrm>
              <a:off x="4073978" y="3842507"/>
              <a:ext cx="1374322"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xnSp macro="">
          <xdr:nvCxnSpPr>
            <xdr:cNvPr id="40" name="Linha superior" descr="Linha decorativa">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Passo5">
            <a:extLst>
              <a:ext uri="{FF2B5EF4-FFF2-40B4-BE49-F238E27FC236}">
                <a16:creationId xmlns:a16="http://schemas.microsoft.com/office/drawing/2014/main" id="{00000000-0008-0000-0100-000017000000}"/>
              </a:ext>
            </a:extLst>
          </xdr:cNvPr>
          <xdr:cNvGrpSpPr/>
        </xdr:nvGrpSpPr>
        <xdr:grpSpPr>
          <a:xfrm>
            <a:off x="558707" y="3209551"/>
            <a:ext cx="5225273" cy="676593"/>
            <a:chOff x="231749" y="2918764"/>
            <a:chExt cx="5216550" cy="671055"/>
          </a:xfrm>
        </xdr:grpSpPr>
        <xdr:sp macro="" textlink="">
          <xdr:nvSpPr>
            <xdr:cNvPr id="24" name="Passo" descr="Agora some apenas os números maiores que 50. Selecione a última célula amarela. Escreva =SOMA.SE(D11:D15;&quot;&gt;50&quot;) e, em seguida, prima Enter. O resultado é 100.">
              <a:extLst>
                <a:ext uri="{FF2B5EF4-FFF2-40B4-BE49-F238E27FC236}">
                  <a16:creationId xmlns:a16="http://schemas.microsoft.com/office/drawing/2014/main" id="{00000000-0008-0000-0100-000018000000}"/>
                </a:ext>
              </a:extLst>
            </xdr:cNvPr>
            <xdr:cNvSpPr txBox="1"/>
          </xdr:nvSpPr>
          <xdr:spPr>
            <a:xfrm>
              <a:off x="638783" y="2918764"/>
              <a:ext cx="4809516" cy="67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some apenas os números maiores que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Selecione a última célula amarela. Escreva</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=SOMA.SE(D11:D15;"&gt;50")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 em seguida, prima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resultado é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grpSp>
        <xdr:nvGrpSpPr>
          <xdr:cNvPr id="22" name="Passo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nvGrpSpPr>
            <xdr:cNvPr id="27" name="Grupo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Passo" descr="Prima Alt = primeiro. Em seguida, prima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Prima 	           primeiro. Em seguida,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Tecla Sinal de Igual" descr="Tecla Sinal de Igual">
                <a:extLst>
                  <a:ext uri="{FF2B5EF4-FFF2-40B4-BE49-F238E27FC236}">
                    <a16:creationId xmlns:a16="http://schemas.microsoft.com/office/drawing/2014/main" id="{00000000-0008-0000-0100-00001E000000}"/>
                  </a:ext>
                </a:extLst>
              </xdr:cNvPr>
              <xdr:cNvSpPr/>
            </xdr:nvSpPr>
            <xdr:spPr>
              <a:xfrm>
                <a:off x="159773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9" name="Tecla Alt" descr="Tecla Alt">
                <a:extLst>
                  <a:ext uri="{FF2B5EF4-FFF2-40B4-BE49-F238E27FC236}">
                    <a16:creationId xmlns:a16="http://schemas.microsoft.com/office/drawing/2014/main" id="{00000000-0008-0000-0100-00001D000000}"/>
                  </a:ext>
                </a:extLst>
              </xdr:cNvPr>
              <xdr:cNvSpPr/>
            </xdr:nvSpPr>
            <xdr:spPr>
              <a:xfrm>
                <a:off x="110591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grpSp>
        <xdr:nvGrpSpPr>
          <xdr:cNvPr id="21" name="Passo3">
            <a:extLst>
              <a:ext uri="{FF2B5EF4-FFF2-40B4-BE49-F238E27FC236}">
                <a16:creationId xmlns:a16="http://schemas.microsoft.com/office/drawing/2014/main" id="{00000000-0008-0000-0100-000015000000}"/>
              </a:ext>
            </a:extLst>
          </xdr:cNvPr>
          <xdr:cNvGrpSpPr/>
        </xdr:nvGrpSpPr>
        <xdr:grpSpPr>
          <a:xfrm>
            <a:off x="558707" y="2277525"/>
            <a:ext cx="5225273" cy="483001"/>
            <a:chOff x="231749" y="1994372"/>
            <a:chExt cx="5216550" cy="479049"/>
          </a:xfrm>
        </xdr:grpSpPr>
        <xdr:sp macro="" textlink="">
          <xdr:nvSpPr>
            <xdr:cNvPr id="32" name="Passo" descr="Eis outra forma de somar com um atalho de teclado. Selecione a célula amarela abaixo das quantidades de carne.">
              <a:extLst>
                <a:ext uri="{FF2B5EF4-FFF2-40B4-BE49-F238E27FC236}">
                  <a16:creationId xmlns:a16="http://schemas.microsoft.com/office/drawing/2014/main" id="{00000000-0008-0000-0100-000020000000}"/>
                </a:ext>
              </a:extLst>
            </xdr:cNvPr>
            <xdr:cNvSpPr txBox="1"/>
          </xdr:nvSpPr>
          <xdr:spPr>
            <a:xfrm>
              <a:off x="638783" y="2036870"/>
              <a:ext cx="4809516" cy="43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Eis outra forma de somar com um atalho de teclado. Selecione a célula amarela abaixo das quantidades de carne.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20" name="Passo2">
            <a:extLst>
              <a:ext uri="{FF2B5EF4-FFF2-40B4-BE49-F238E27FC236}">
                <a16:creationId xmlns:a16="http://schemas.microsoft.com/office/drawing/2014/main" id="{00000000-0008-0000-0100-000014000000}"/>
              </a:ext>
            </a:extLst>
          </xdr:cNvPr>
          <xdr:cNvGrpSpPr/>
        </xdr:nvGrpSpPr>
        <xdr:grpSpPr>
          <a:xfrm>
            <a:off x="558707" y="1769255"/>
            <a:ext cx="5225273" cy="486685"/>
            <a:chOff x="231749" y="1490256"/>
            <a:chExt cx="5216550" cy="482701"/>
          </a:xfrm>
        </xdr:grpSpPr>
        <xdr:sp macro="" textlink="">
          <xdr:nvSpPr>
            <xdr:cNvPr id="34" name="Passo" descr="Escreva =SOMA(D4:D7) e prima Enter. Quando terminar, verá o resultado 170">
              <a:extLst>
                <a:ext uri="{FF2B5EF4-FFF2-40B4-BE49-F238E27FC236}">
                  <a16:creationId xmlns:a16="http://schemas.microsoft.com/office/drawing/2014/main" id="{00000000-0008-0000-0100-000022000000}"/>
                </a:ext>
              </a:extLst>
            </xdr:cNvPr>
            <xdr:cNvSpPr txBox="1"/>
          </xdr:nvSpPr>
          <xdr:spPr>
            <a:xfrm>
              <a:off x="638782" y="1494257"/>
              <a:ext cx="4809517" cy="478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Escreva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=SOMA(D4:D7)</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prima Enter. Quando terminar, verá o resultado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9" name="Passo1">
            <a:extLst>
              <a:ext uri="{FF2B5EF4-FFF2-40B4-BE49-F238E27FC236}">
                <a16:creationId xmlns:a16="http://schemas.microsoft.com/office/drawing/2014/main" id="{00000000-0008-0000-0100-000013000000}"/>
              </a:ext>
            </a:extLst>
          </xdr:cNvPr>
          <xdr:cNvGrpSpPr/>
        </xdr:nvGrpSpPr>
        <xdr:grpSpPr>
          <a:xfrm>
            <a:off x="558707" y="1288018"/>
            <a:ext cx="5225273" cy="374653"/>
            <a:chOff x="231749" y="1012960"/>
            <a:chExt cx="5216550" cy="371587"/>
          </a:xfrm>
        </xdr:grpSpPr>
        <xdr:sp macro="" textlink="">
          <xdr:nvSpPr>
            <xdr:cNvPr id="36" name="Passo" descr="Selecione a célula amarela abaixo das quantidades de fruta">
              <a:extLst>
                <a:ext uri="{FF2B5EF4-FFF2-40B4-BE49-F238E27FC236}">
                  <a16:creationId xmlns:a16="http://schemas.microsoft.com/office/drawing/2014/main" id="{00000000-0008-0000-0100-000024000000}"/>
                </a:ext>
              </a:extLst>
            </xdr:cNvPr>
            <xdr:cNvSpPr txBox="1"/>
          </xdr:nvSpPr>
          <xdr:spPr>
            <a:xfrm>
              <a:off x="638783" y="1036211"/>
              <a:ext cx="4809516" cy="34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amarela abaixo das quantidades de fruta.</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1296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sp macro="" textlink="">
        <xdr:nvSpPr>
          <xdr:cNvPr id="18" name="Introdução à soma de números" descr="Eis algumas formas de somar números no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algumas formas de somar números no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23</xdr:row>
      <xdr:rowOff>57150</xdr:rowOff>
    </xdr:to>
    <xdr:grpSp>
      <xdr:nvGrpSpPr>
        <xdr:cNvPr id="113" name="Poupar tempo ao preencher células automaticamente"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16905" cy="4757056"/>
          <a:chOff x="11496675" y="857250"/>
          <a:chExt cx="5695950" cy="4759121"/>
        </a:xfrm>
      </xdr:grpSpPr>
      <xdr:sp macro="" textlink="">
        <xdr:nvSpPr>
          <xdr:cNvPr id="97" name="Retângulo 96" descr="Fundo">
            <a:extLst>
              <a:ext uri="{FF2B5EF4-FFF2-40B4-BE49-F238E27FC236}">
                <a16:creationId xmlns:a16="http://schemas.microsoft.com/office/drawing/2014/main" id="{00000000-0008-0000-0200-000061000000}"/>
              </a:ext>
            </a:extLst>
          </xdr:cNvPr>
          <xdr:cNvSpPr/>
        </xdr:nvSpPr>
        <xdr:spPr>
          <a:xfrm>
            <a:off x="11496675" y="857250"/>
            <a:ext cx="5695950" cy="475912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8" name="Passo" descr="Poupar tempo ao preencher células automaticamente">
            <a:extLst>
              <a:ext uri="{FF2B5EF4-FFF2-40B4-BE49-F238E27FC236}">
                <a16:creationId xmlns:a16="http://schemas.microsoft.com/office/drawing/2014/main" id="{00000000-0008-0000-0200-000062000000}"/>
              </a:ext>
            </a:extLst>
          </xdr:cNvPr>
          <xdr:cNvSpPr txBox="1"/>
        </xdr:nvSpPr>
        <xdr:spPr>
          <a:xfrm>
            <a:off x="11728424" y="985472"/>
            <a:ext cx="5203628" cy="838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Poupar tempo ao preencher células automaticamente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Conexão Reta 98" descr="Linha decorativa">
            <a:extLst>
              <a:ext uri="{FF2B5EF4-FFF2-40B4-BE49-F238E27FC236}">
                <a16:creationId xmlns:a16="http://schemas.microsoft.com/office/drawing/2014/main" id="{00000000-0008-0000-0200-000063000000}"/>
              </a:ext>
            </a:extLst>
          </xdr:cNvPr>
          <xdr:cNvCxnSpPr>
            <a:cxnSpLocks/>
          </xdr:cNvCxnSpPr>
        </xdr:nvCxnSpPr>
        <xdr:spPr>
          <a:xfrm>
            <a:off x="11731599" y="18740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Desça para ver mais detalhes">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937981"/>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101" name="Conexão Reta 100" descr="Linha decorativa">
            <a:extLst>
              <a:ext uri="{FF2B5EF4-FFF2-40B4-BE49-F238E27FC236}">
                <a16:creationId xmlns:a16="http://schemas.microsoft.com/office/drawing/2014/main" id="{00000000-0008-0000-0200-000065000000}"/>
              </a:ext>
            </a:extLst>
          </xdr:cNvPr>
          <xdr:cNvCxnSpPr>
            <a:cxnSpLocks/>
          </xdr:cNvCxnSpPr>
        </xdr:nvCxnSpPr>
        <xdr:spPr>
          <a:xfrm>
            <a:off x="11731599" y="468640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200-000066000000}"/>
              </a:ext>
            </a:extLst>
          </xdr:cNvPr>
          <xdr:cNvSpPr/>
        </xdr:nvSpPr>
        <xdr:spPr>
          <a:xfrm>
            <a:off x="15569976" y="4937981"/>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03" name="Passo" descr="Eis como utilizar a alça de preenchimento no Excel:">
            <a:extLst>
              <a:ext uri="{FF2B5EF4-FFF2-40B4-BE49-F238E27FC236}">
                <a16:creationId xmlns:a16="http://schemas.microsoft.com/office/drawing/2014/main" id="{00000000-0008-0000-0200-000067000000}"/>
              </a:ext>
            </a:extLst>
          </xdr:cNvPr>
          <xdr:cNvSpPr txBox="1"/>
        </xdr:nvSpPr>
        <xdr:spPr>
          <a:xfrm>
            <a:off x="11725275" y="194766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como utilizar a alça de preenchimento no Excel:</a:t>
            </a:r>
          </a:p>
        </xdr:txBody>
      </xdr:sp>
      <xdr:sp macro="" textlink="">
        <xdr:nvSpPr>
          <xdr:cNvPr id="104" name="Passo" descr="Clique na célula com o número 100">
            <a:extLst>
              <a:ext uri="{FF2B5EF4-FFF2-40B4-BE49-F238E27FC236}">
                <a16:creationId xmlns:a16="http://schemas.microsoft.com/office/drawing/2014/main" id="{00000000-0008-0000-0200-000068000000}"/>
              </a:ext>
            </a:extLst>
          </xdr:cNvPr>
          <xdr:cNvSpPr txBox="1"/>
        </xdr:nvSpPr>
        <xdr:spPr>
          <a:xfrm>
            <a:off x="12135458" y="2293775"/>
            <a:ext cx="4809516" cy="35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com o número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2251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06" name="Passo"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73304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Coloque o cursor sobre o canto inferior direito da célula até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transformar numa cruz:</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73819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08" name="Passo" descr="Clique na cruz e arraste três células para baixo. O Excel preenche automaticamente as células com os totais: 110, 120 e 130. A isto chamamos &quot;preencher para baixo&quot;.&#10;">
            <a:extLst>
              <a:ext uri="{FF2B5EF4-FFF2-40B4-BE49-F238E27FC236}">
                <a16:creationId xmlns:a16="http://schemas.microsoft.com/office/drawing/2014/main" id="{00000000-0008-0000-0200-00006C000000}"/>
              </a:ext>
            </a:extLst>
          </xdr:cNvPr>
          <xdr:cNvSpPr txBox="1"/>
        </xdr:nvSpPr>
        <xdr:spPr>
          <a:xfrm>
            <a:off x="12135458" y="3229243"/>
            <a:ext cx="4809516" cy="66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cruz e arraste três células para baixo. O Excel preenche automaticamente as células com os totais: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isto chamamos "preencher para baixo".</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27251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10" name="Passo" descr="Selecione a célula amarela com 200 e preencha novamente, mas agora arraste a alça de preenchimento para a direita para preencher as células. Isto é conhecido como &quot;preencher para a direita&quot;">
            <a:extLst>
              <a:ext uri="{FF2B5EF4-FFF2-40B4-BE49-F238E27FC236}">
                <a16:creationId xmlns:a16="http://schemas.microsoft.com/office/drawing/2014/main" id="{00000000-0008-0000-0200-00006E000000}"/>
              </a:ext>
            </a:extLst>
          </xdr:cNvPr>
          <xdr:cNvSpPr txBox="1"/>
        </xdr:nvSpPr>
        <xdr:spPr>
          <a:xfrm>
            <a:off x="12135458" y="3891828"/>
            <a:ext cx="4809516" cy="63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amarela com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preencha novamente, mas agora arraste a alça de preenchimento para a </a:t>
            </a:r>
            <a:r>
              <a:rPr lang="pt-pt"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direita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preencher as células. Isto é conhecido como "preencher para a direita".</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9255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3</xdr:row>
      <xdr:rowOff>0</xdr:rowOff>
    </xdr:from>
    <xdr:to>
      <xdr:col>11</xdr:col>
      <xdr:colOff>247649</xdr:colOff>
      <xdr:row>12</xdr:row>
      <xdr:rowOff>55145</xdr:rowOff>
    </xdr:to>
    <xdr:grpSp>
      <xdr:nvGrpSpPr>
        <xdr:cNvPr id="9" name="Grupo 8" descr="PONTOS EXTRA&#10;Clique e arraste para selecionar estas quatro células e, em seguida, prima Ctrl+D. Esse é o atalho de teclado do preenchimento para baixo. Sabe qual é atalho para preencher para a direita? &#10;">
          <a:extLst>
            <a:ext uri="{FF2B5EF4-FFF2-40B4-BE49-F238E27FC236}">
              <a16:creationId xmlns:a16="http://schemas.microsoft.com/office/drawing/2014/main" id="{57EAD499-47B6-45F6-BD42-53FFC059531B}"/>
            </a:ext>
          </a:extLst>
        </xdr:cNvPr>
        <xdr:cNvGrpSpPr/>
      </xdr:nvGrpSpPr>
      <xdr:grpSpPr>
        <a:xfrm>
          <a:off x="10346455" y="1143000"/>
          <a:ext cx="2725654" cy="1769645"/>
          <a:chOff x="9304420" y="1209675"/>
          <a:chExt cx="2630404" cy="1769645"/>
        </a:xfrm>
      </xdr:grpSpPr>
      <xdr:grpSp>
        <xdr:nvGrpSpPr>
          <xdr:cNvPr id="117" name="Grupo 116" descr="Linha de chavetas">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orma livre: forma 117" descr="Linha de chavetas">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9" name="Forma livre: forma 118" descr="Linha de chavetas">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121" name="Passo" descr="PONTOS EXTRA&#10;Clique e arraste para selecionar estas quatro células e, em seguida, prima Ctrl+D. Esse é o atalho de teclado do preenchimento para baixo. Sabe qual é atalho para preencher para a direita? &#10;">
            <a:extLst>
              <a:ext uri="{FF2B5EF4-FFF2-40B4-BE49-F238E27FC236}">
                <a16:creationId xmlns:a16="http://schemas.microsoft.com/office/drawing/2014/main" id="{00000000-0008-0000-0200-000079000000}"/>
              </a:ext>
            </a:extLst>
          </xdr:cNvPr>
          <xdr:cNvSpPr txBox="1"/>
        </xdr:nvSpPr>
        <xdr:spPr>
          <a:xfrm>
            <a:off x="9923105" y="1209675"/>
            <a:ext cx="2011719"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Clique e arraste para selecionar estas quatro células e, em seguida, prima Ctrl+D. Esse é o atalho de teclado do preenchimento para baixo. Sabe qual é atalho para preencher para a </a:t>
            </a:r>
            <a:r>
              <a:rPr lang="pt-pt" sz="1100" b="0" i="1" kern="1200" baseline="0">
                <a:solidFill>
                  <a:schemeClr val="dk1"/>
                </a:solidFill>
                <a:effectLst/>
                <a:latin typeface="+mn-lt"/>
                <a:ea typeface="+mn-ea"/>
                <a:cs typeface="+mn-cs"/>
              </a:rPr>
              <a:t>direita</a:t>
            </a:r>
            <a:r>
              <a:rPr lang="pt-pt" sz="1100" b="0" i="0" kern="1200" baseline="0">
                <a:solidFill>
                  <a:schemeClr val="dk1"/>
                </a:solidFill>
                <a:effectLst/>
                <a:latin typeface="+mn-lt"/>
                <a:ea typeface="+mn-ea"/>
                <a:cs typeface="+mn-cs"/>
              </a:rPr>
              <a:t>? </a:t>
            </a:r>
            <a:endParaRPr lang="en-US" sz="1100">
              <a:effectLst/>
            </a:endParaRPr>
          </a:p>
        </xdr:txBody>
      </xdr:sp>
      <xdr:pic>
        <xdr:nvPicPr>
          <xdr:cNvPr id="122" name="Gráfico 263" descr="Friso">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43</xdr:row>
      <xdr:rowOff>19050</xdr:rowOff>
    </xdr:to>
    <xdr:grpSp>
      <xdr:nvGrpSpPr>
        <xdr:cNvPr id="114" name="Utilizar a alça de preenchimento para copiar célula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716905" cy="3298387"/>
          <a:chOff x="0" y="-9524"/>
          <a:chExt cx="5695950" cy="3291761"/>
        </a:xfrm>
      </xdr:grpSpPr>
      <xdr:sp macro="" textlink="">
        <xdr:nvSpPr>
          <xdr:cNvPr id="115" name="Retângulo 114" descr="Fundo">
            <a:extLst>
              <a:ext uri="{FF2B5EF4-FFF2-40B4-BE49-F238E27FC236}">
                <a16:creationId xmlns:a16="http://schemas.microsoft.com/office/drawing/2014/main" id="{00000000-0008-0000-0200-000073000000}"/>
              </a:ext>
            </a:extLst>
          </xdr:cNvPr>
          <xdr:cNvSpPr/>
        </xdr:nvSpPr>
        <xdr:spPr>
          <a:xfrm>
            <a:off x="0" y="-9524"/>
            <a:ext cx="5695950" cy="329176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6" name="Passo" descr="Utilizar a alça de preenchimento para copiar células">
            <a:extLst>
              <a:ext uri="{FF2B5EF4-FFF2-40B4-BE49-F238E27FC236}">
                <a16:creationId xmlns:a16="http://schemas.microsoft.com/office/drawing/2014/main" id="{00000000-0008-0000-0200-000074000000}"/>
              </a:ext>
            </a:extLst>
          </xdr:cNvPr>
          <xdr:cNvSpPr txBox="1"/>
        </xdr:nvSpPr>
        <xdr:spPr>
          <a:xfrm>
            <a:off x="231748" y="118698"/>
            <a:ext cx="5278835" cy="796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a alça de preenchimento para copiar células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Conexão Reta 122" descr="Linha decorativa">
            <a:extLst>
              <a:ext uri="{FF2B5EF4-FFF2-40B4-BE49-F238E27FC236}">
                <a16:creationId xmlns:a16="http://schemas.microsoft.com/office/drawing/2014/main" id="{00000000-0008-0000-0200-00007B000000}"/>
              </a:ext>
            </a:extLst>
          </xdr:cNvPr>
          <xdr:cNvCxnSpPr>
            <a:cxnSpLocks/>
          </xdr:cNvCxnSpPr>
        </xdr:nvCxnSpPr>
        <xdr:spPr>
          <a:xfrm>
            <a:off x="234924" y="9588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200-00007C000000}"/>
              </a:ext>
            </a:extLst>
          </xdr:cNvPr>
          <xdr:cNvCxnSpPr>
            <a:cxnSpLocks/>
          </xdr:cNvCxnSpPr>
        </xdr:nvCxnSpPr>
        <xdr:spPr>
          <a:xfrm>
            <a:off x="234924" y="304683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asso" descr="Por vezes, não precisa que os números sejam alterados à medida que preenche. Em vez disso, só quer copiar valores para outras células adjacentes. Eis como fazê-lo:">
            <a:extLst>
              <a:ext uri="{FF2B5EF4-FFF2-40B4-BE49-F238E27FC236}">
                <a16:creationId xmlns:a16="http://schemas.microsoft.com/office/drawing/2014/main" id="{00000000-0008-0000-0200-00007D000000}"/>
              </a:ext>
            </a:extLst>
          </xdr:cNvPr>
          <xdr:cNvSpPr txBox="1"/>
        </xdr:nvSpPr>
        <xdr:spPr>
          <a:xfrm>
            <a:off x="228600" y="1032427"/>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Por vezes não precisa que os números sejam alterados à medida que preenche. Em vez disso, só quer copiar valores para outras células adjacentes. Eis como fazê-lo:</a:t>
            </a:r>
          </a:p>
        </xdr:txBody>
      </xdr:sp>
      <xdr:sp macro="" textlink="">
        <xdr:nvSpPr>
          <xdr:cNvPr id="126" name="Passo" descr="Clique na célula que diz Prod. Agrícolas. Coloque o cursor sobre o canto inferior direito da célula até se transformar numa cruz e, em seguida, arraste três células para baixo.">
            <a:extLst>
              <a:ext uri="{FF2B5EF4-FFF2-40B4-BE49-F238E27FC236}">
                <a16:creationId xmlns:a16="http://schemas.microsoft.com/office/drawing/2014/main" id="{00000000-0008-0000-0200-00007E000000}"/>
              </a:ext>
            </a:extLst>
          </xdr:cNvPr>
          <xdr:cNvSpPr txBox="1"/>
        </xdr:nvSpPr>
        <xdr:spPr>
          <a:xfrm>
            <a:off x="638783" y="1483138"/>
            <a:ext cx="4809516" cy="686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célula que diz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 Agrícolas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Coloque o cursor sobre o canto inferior direito da célula até se transformar numa cruz e, em seguida, arraste três células para baixo.</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4976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28" name="Passo"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2103008"/>
            <a:ext cx="4809517" cy="84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selecione a célula com a palavra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Coloque o cursor sobre o canto inferior direito novamente e, quando vir a cruz, faça duplo clique. Essa é outra forma de preencher para baixo, se alguma vez precisar de preencher uma coluna longa.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214606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781050</xdr:colOff>
      <xdr:row>46</xdr:row>
      <xdr:rowOff>44429</xdr:rowOff>
    </xdr:from>
    <xdr:to>
      <xdr:col>9</xdr:col>
      <xdr:colOff>171450</xdr:colOff>
      <xdr:row>58</xdr:row>
      <xdr:rowOff>66675</xdr:rowOff>
    </xdr:to>
    <xdr:grpSp>
      <xdr:nvGrpSpPr>
        <xdr:cNvPr id="4" name="Grupo 3" descr="DETALHE IMPORTANTE&#10;Selecione a célula e, em seguida, arraste a alça de preenchimento para baixo 3 células. Em seguida, clique neste botão: &#10;Este é o botão Opções de Preenchimento Automático e permite-lhe alterar o preenchimento imediatamente a seguir. Selecione outra opção como Copiar células ou Preencher só com a formatação. Nunca se sabe quando estas opções podem ser úteis.&#10;&#10;">
          <a:extLst>
            <a:ext uri="{FF2B5EF4-FFF2-40B4-BE49-F238E27FC236}">
              <a16:creationId xmlns:a16="http://schemas.microsoft.com/office/drawing/2014/main" id="{B7960B44-C8E9-4F1E-A9E9-67C3B65C9601}"/>
            </a:ext>
          </a:extLst>
        </xdr:cNvPr>
        <xdr:cNvGrpSpPr/>
      </xdr:nvGrpSpPr>
      <xdr:grpSpPr>
        <a:xfrm>
          <a:off x="7334250" y="9378929"/>
          <a:ext cx="4442460" cy="2308246"/>
          <a:chOff x="7153275" y="9845654"/>
          <a:chExt cx="4295775" cy="2308246"/>
        </a:xfrm>
      </xdr:grpSpPr>
      <xdr:sp macro="" textlink="">
        <xdr:nvSpPr>
          <xdr:cNvPr id="80" name="Forma livre: forma 79" descr="Seta">
            <a:extLst>
              <a:ext uri="{FF2B5EF4-FFF2-40B4-BE49-F238E27FC236}">
                <a16:creationId xmlns:a16="http://schemas.microsoft.com/office/drawing/2014/main" id="{00000000-0008-0000-0200-000050000000}"/>
              </a:ext>
            </a:extLst>
          </xdr:cNvPr>
          <xdr:cNvSpPr/>
        </xdr:nvSpPr>
        <xdr:spPr>
          <a:xfrm>
            <a:off x="9344025" y="9845654"/>
            <a:ext cx="699820"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142" name="Passo" descr="DETALHE IMPORTANTE&#10;Selecione a célula e, em seguida, arraste a alça de preenchimento para baixo 3 células. Em seguida, clique neste botão: &#10;Este é o botão Opções de Preenchimento Automático e permite-lhe alterar o preenchimento imediatamente a seguir. Selecione outra opção como Copiar células ou Preencher só com a formatação. Nunca se sabe quando estas opções podem ser úteis.&#10;&#10;">
            <a:extLst>
              <a:ext uri="{FF2B5EF4-FFF2-40B4-BE49-F238E27FC236}">
                <a16:creationId xmlns:a16="http://schemas.microsoft.com/office/drawing/2014/main" id="{00000000-0008-0000-0200-00008E000000}"/>
              </a:ext>
            </a:extLst>
          </xdr:cNvPr>
          <xdr:cNvSpPr txBox="1"/>
        </xdr:nvSpPr>
        <xdr:spPr>
          <a:xfrm>
            <a:off x="7524749" y="10623960"/>
            <a:ext cx="3924301"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Selecione a célula e, em seguida, arraste a alça de preenchimento para baixo 3 células. Em seguida, clique neste botão: </a:t>
            </a:r>
          </a:p>
          <a:p>
            <a:pPr rtl="0" eaLnBrk="1" fontAlgn="auto" latinLnBrk="0" hangingPunct="1"/>
            <a:r>
              <a:rPr lang="pt-pt" sz="1100" b="0" i="0" kern="1200" baseline="0">
                <a:solidFill>
                  <a:schemeClr val="dk1"/>
                </a:solidFill>
                <a:effectLst/>
                <a:latin typeface="+mn-lt"/>
                <a:ea typeface="+mn-ea"/>
                <a:cs typeface="+mn-cs"/>
              </a:rPr>
              <a:t>Este é o botão </a:t>
            </a:r>
            <a:r>
              <a:rPr lang="pt-pt" sz="1100" b="1" i="0" kern="1200" baseline="0">
                <a:solidFill>
                  <a:schemeClr val="dk1"/>
                </a:solidFill>
                <a:effectLst/>
                <a:latin typeface="+mn-lt"/>
                <a:ea typeface="+mn-ea"/>
                <a:cs typeface="+mn-cs"/>
              </a:rPr>
              <a:t>Opções de Preenchimento Automático</a:t>
            </a:r>
            <a:r>
              <a:rPr lang="pt-pt" sz="1100" b="0" i="0" kern="1200" baseline="0">
                <a:solidFill>
                  <a:schemeClr val="dk1"/>
                </a:solidFill>
                <a:effectLst/>
                <a:latin typeface="+mn-lt"/>
                <a:ea typeface="+mn-ea"/>
                <a:cs typeface="+mn-cs"/>
              </a:rPr>
              <a:t> e permite-lhe alterar o preenchimento imediatamente a seguir. Selecione outra opção como Copiar células ou Preencher só com a formatação. Nunca se sabe quando estas opções podem ser úteis.</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43" name="Gráfico 147" descr="Óculo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53275" y="10585887"/>
            <a:ext cx="323835" cy="364733"/>
          </a:xfrm>
          <a:prstGeom prst="rect">
            <a:avLst/>
          </a:prstGeom>
        </xdr:spPr>
      </xdr:pic>
      <xdr:pic>
        <xdr:nvPicPr>
          <xdr:cNvPr id="2" name="Imagem 1" descr="Opções de Preenchimento Automático">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10560642" y="11036987"/>
            <a:ext cx="189507" cy="191986"/>
          </a:xfrm>
          <a:prstGeom prst="rect">
            <a:avLst/>
          </a:prstGeom>
        </xdr:spPr>
      </xdr:pic>
    </xdr:grpSp>
    <xdr:clientData/>
  </xdr:twoCellAnchor>
  <xdr:twoCellAnchor editAs="oneCell">
    <xdr:from>
      <xdr:col>0</xdr:col>
      <xdr:colOff>392055</xdr:colOff>
      <xdr:row>45</xdr:row>
      <xdr:rowOff>15817</xdr:rowOff>
    </xdr:from>
    <xdr:to>
      <xdr:col>1</xdr:col>
      <xdr:colOff>5240280</xdr:colOff>
      <xdr:row>66</xdr:row>
      <xdr:rowOff>0</xdr:rowOff>
    </xdr:to>
    <xdr:grpSp>
      <xdr:nvGrpSpPr>
        <xdr:cNvPr id="163" name="Preencher uma série"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9159817"/>
          <a:ext cx="5716905" cy="3984683"/>
          <a:chOff x="0" y="-9524"/>
          <a:chExt cx="5695950" cy="3881575"/>
        </a:xfrm>
      </xdr:grpSpPr>
      <xdr:sp macro="" textlink="">
        <xdr:nvSpPr>
          <xdr:cNvPr id="164" name="Retângulo 163" descr="Fundo">
            <a:extLst>
              <a:ext uri="{FF2B5EF4-FFF2-40B4-BE49-F238E27FC236}">
                <a16:creationId xmlns:a16="http://schemas.microsoft.com/office/drawing/2014/main" id="{00000000-0008-0000-0200-0000A4000000}"/>
              </a:ext>
            </a:extLst>
          </xdr:cNvPr>
          <xdr:cNvSpPr/>
        </xdr:nvSpPr>
        <xdr:spPr>
          <a:xfrm>
            <a:off x="0" y="-9524"/>
            <a:ext cx="5695950" cy="388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5" name="Passo" descr="Preencher uma série">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Preencher uma série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Conexão Reta 165" descr="Linha decorativa">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Conexão Reta 166" descr="Linha decorativa">
            <a:extLst>
              <a:ext uri="{FF2B5EF4-FFF2-40B4-BE49-F238E27FC236}">
                <a16:creationId xmlns:a16="http://schemas.microsoft.com/office/drawing/2014/main" id="{00000000-0008-0000-0200-0000A7000000}"/>
              </a:ext>
            </a:extLst>
          </xdr:cNvPr>
          <xdr:cNvCxnSpPr>
            <a:cxnSpLocks/>
          </xdr:cNvCxnSpPr>
        </xdr:nvCxnSpPr>
        <xdr:spPr>
          <a:xfrm>
            <a:off x="234924" y="358534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Passo" descr="O Excel consegue preencher algumas células automaticamente com base numa série. Por exemplo, pode escrever Jan numa célula e, em seguida, preencher as restantes células com Fev, Mar, etc.">
            <a:extLst>
              <a:ext uri="{FF2B5EF4-FFF2-40B4-BE49-F238E27FC236}">
                <a16:creationId xmlns:a16="http://schemas.microsoft.com/office/drawing/2014/main" id="{00000000-0008-0000-0200-0000A8000000}"/>
              </a:ext>
            </a:extLst>
          </xdr:cNvPr>
          <xdr:cNvSpPr txBox="1"/>
        </xdr:nvSpPr>
        <xdr:spPr>
          <a:xfrm>
            <a:off x="228600" y="699721"/>
            <a:ext cx="5237220" cy="639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i="0" kern="1200">
                <a:solidFill>
                  <a:schemeClr val="tx1">
                    <a:lumMod val="75000"/>
                    <a:lumOff val="25000"/>
                  </a:schemeClr>
                </a:solidFill>
                <a:effectLst/>
                <a:latin typeface="Segoe UI" panose="020B0502040204020203" pitchFamily="34" charset="0"/>
                <a:ea typeface="+mn-ea"/>
                <a:cs typeface="+mn-cs"/>
              </a:rPr>
              <a:t>O Excel consegue preencher algumas células automaticamente com base numa série. Por exemplo, pode escrever Jan numa célula e, em seguida, preencher as restantes células com Fev, Mar, etc. </a:t>
            </a:r>
            <a:endParaRPr lang="en-US" sz="1100" i="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69" name="Passo" descr="Clique na célula que diz Jan">
            <a:extLst>
              <a:ext uri="{FF2B5EF4-FFF2-40B4-BE49-F238E27FC236}">
                <a16:creationId xmlns:a16="http://schemas.microsoft.com/office/drawing/2014/main" id="{00000000-0008-0000-0200-0000A9000000}"/>
              </a:ext>
            </a:extLst>
          </xdr:cNvPr>
          <xdr:cNvSpPr txBox="1"/>
        </xdr:nvSpPr>
        <xdr:spPr>
          <a:xfrm>
            <a:off x="638783" y="1402316"/>
            <a:ext cx="4809516" cy="344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célula que diz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3783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71" name="Passo" descr="Coloque o cursor sobre o canto inferior direito da célula até se transformar numa cruz e, em seguida, arraste duas células para a direita. O Excel deteta uma série e preenche Fev e Mar automaticamente.">
            <a:extLst>
              <a:ext uri="{FF2B5EF4-FFF2-40B4-BE49-F238E27FC236}">
                <a16:creationId xmlns:a16="http://schemas.microsoft.com/office/drawing/2014/main" id="{00000000-0008-0000-0200-0000AB000000}"/>
              </a:ext>
            </a:extLst>
          </xdr:cNvPr>
          <xdr:cNvSpPr txBox="1"/>
        </xdr:nvSpPr>
        <xdr:spPr>
          <a:xfrm>
            <a:off x="638782" y="1851094"/>
            <a:ext cx="4809517" cy="675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Coloque o cursor sobre o canto inferior direito da célula até se transformar numa cruz e, em seguida, arraste duas células para a direita. O Excel deteta uma série e preenche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Fev</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automaticamente.</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8549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73" name="Passo" descr="Agora selecione a célula com Semana 1">
            <a:extLst>
              <a:ext uri="{FF2B5EF4-FFF2-40B4-BE49-F238E27FC236}">
                <a16:creationId xmlns:a16="http://schemas.microsoft.com/office/drawing/2014/main" id="{00000000-0008-0000-0200-0000AD000000}"/>
              </a:ext>
            </a:extLst>
          </xdr:cNvPr>
          <xdr:cNvSpPr txBox="1"/>
        </xdr:nvSpPr>
        <xdr:spPr>
          <a:xfrm>
            <a:off x="638782" y="2535076"/>
            <a:ext cx="4809517" cy="381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selecione a célula com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Semana 1</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4925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75" name="Passo" descr="Coloque o cursor sobre o canto inferior direito novamente e, quando vir a cruz, faça duplo clique na mesma">
            <a:extLst>
              <a:ext uri="{FF2B5EF4-FFF2-40B4-BE49-F238E27FC236}">
                <a16:creationId xmlns:a16="http://schemas.microsoft.com/office/drawing/2014/main" id="{00000000-0008-0000-0200-0000AF000000}"/>
              </a:ext>
            </a:extLst>
          </xdr:cNvPr>
          <xdr:cNvSpPr txBox="1"/>
        </xdr:nvSpPr>
        <xdr:spPr>
          <a:xfrm>
            <a:off x="638782" y="297225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Coloque o cursor sobre o canto inferior direito novamente e, quando vir a cruz, </a:t>
            </a:r>
            <a:r>
              <a:rPr lang="pt-pt"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faça duplo clique na mesma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99470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67</xdr:row>
      <xdr:rowOff>188495</xdr:rowOff>
    </xdr:from>
    <xdr:to>
      <xdr:col>1</xdr:col>
      <xdr:colOff>5240280</xdr:colOff>
      <xdr:row>82</xdr:row>
      <xdr:rowOff>137695</xdr:rowOff>
    </xdr:to>
    <xdr:grpSp>
      <xdr:nvGrpSpPr>
        <xdr:cNvPr id="187" name="Mais Informações na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3523495"/>
          <a:ext cx="5716905" cy="2806700"/>
          <a:chOff x="0" y="1"/>
          <a:chExt cx="5695950" cy="2806700"/>
        </a:xfrm>
      </xdr:grpSpPr>
      <xdr:sp macro="" textlink="">
        <xdr:nvSpPr>
          <xdr:cNvPr id="188" name="Retângulo 187" descr="Fundo">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9" name="Passo" descr="Mais informações na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Conexão Reta 189" descr="Linha decorativa">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Botão Seguinte" descr="Voltar ao início, com hiperligação para a célula A1">
            <a:hlinkClick xmlns:r="http://schemas.openxmlformats.org/officeDocument/2006/relationships" r:id="rId8" tooltip="Selecione para voltar à célula A1 nesta folha de cálculo"/>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92" name="Conexão Reta 191" descr="Linha decorativa">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200-0000C1000000}"/>
              </a:ext>
            </a:extLst>
          </xdr:cNvPr>
          <xdr:cNvSpPr/>
        </xdr:nvSpPr>
        <xdr:spPr>
          <a:xfrm>
            <a:off x="4046595" y="2220914"/>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94" name="Passo" descr="Preencher dados automaticamente nas células da folha de cálculo, com hiperligação para a Web">
            <a:hlinkClick xmlns:r="http://schemas.openxmlformats.org/officeDocument/2006/relationships" r:id="rId9" tooltip="Selecione para aceder à Web e saber como preencher dados automaticamente nas células da folha de cálculo"/>
            <a:extLst>
              <a:ext uri="{FF2B5EF4-FFF2-40B4-BE49-F238E27FC236}">
                <a16:creationId xmlns:a16="http://schemas.microsoft.com/office/drawing/2014/main" id="{00000000-0008-0000-0200-0000C2000000}"/>
              </a:ext>
            </a:extLst>
          </xdr:cNvPr>
          <xdr:cNvSpPr txBox="1"/>
        </xdr:nvSpPr>
        <xdr:spPr>
          <a:xfrm>
            <a:off x="638783" y="794849"/>
            <a:ext cx="435078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Preencher dados automaticamente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células de folhas de cálculo</a:t>
            </a:r>
          </a:p>
          <a:p>
            <a:pPr lvl="0" rtl="0">
              <a:defRPr/>
            </a:pPr>
            <a:endPar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5"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Passo" descr="Preencher uma fórmula para baixo em células adjacentes, com hiperligação para a Web">
            <a:hlinkClick xmlns:r="http://schemas.openxmlformats.org/officeDocument/2006/relationships" r:id="rId12" tooltip="Selecione para aceder à Web e saber como preencher uma fórmula para baixo para células adjacentes"/>
            <a:extLst>
              <a:ext uri="{FF2B5EF4-FFF2-40B4-BE49-F238E27FC236}">
                <a16:creationId xmlns:a16="http://schemas.microsoft.com/office/drawing/2014/main" id="{00000000-0008-0000-0200-0000C4000000}"/>
              </a:ext>
            </a:extLst>
          </xdr:cNvPr>
          <xdr:cNvSpPr txBox="1"/>
        </xdr:nvSpPr>
        <xdr:spPr>
          <a:xfrm>
            <a:off x="638783" y="1259456"/>
            <a:ext cx="383643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Preencher uma fórmula para baixo em células adjacentes</a:t>
            </a:r>
          </a:p>
          <a:p>
            <a:pPr lvl="0" rt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722536" y="2353607"/>
    <xdr:ext cx="614224" cy="252734"/>
    <xdr:pic>
      <xdr:nvPicPr>
        <xdr:cNvPr id="81" name="Instrução" descr="Canto inferior direito da célula">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722536" y="2353607"/>
          <a:ext cx="614224" cy="252734"/>
        </a:xfrm>
        <a:prstGeom prst="rect">
          <a:avLst/>
        </a:prstGeom>
      </xdr:spPr>
    </xdr:pic>
    <xdr:clientData/>
  </xdr:absoluteAnchor>
  <xdr:twoCellAnchor editAs="oneCell">
    <xdr:from>
      <xdr:col>2</xdr:col>
      <xdr:colOff>15240</xdr:colOff>
      <xdr:row>61</xdr:row>
      <xdr:rowOff>108756</xdr:rowOff>
    </xdr:from>
    <xdr:to>
      <xdr:col>7</xdr:col>
      <xdr:colOff>76199</xdr:colOff>
      <xdr:row>69</xdr:row>
      <xdr:rowOff>133349</xdr:rowOff>
    </xdr:to>
    <xdr:grpSp>
      <xdr:nvGrpSpPr>
        <xdr:cNvPr id="10" name="EXPERIMENTE" descr="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
          <a:extLst>
            <a:ext uri="{FF2B5EF4-FFF2-40B4-BE49-F238E27FC236}">
              <a16:creationId xmlns:a16="http://schemas.microsoft.com/office/drawing/2014/main" id="{00000000-0008-0000-0200-00000A000000}"/>
            </a:ext>
          </a:extLst>
        </xdr:cNvPr>
        <xdr:cNvGrpSpPr/>
      </xdr:nvGrpSpPr>
      <xdr:grpSpPr>
        <a:xfrm>
          <a:off x="6568440" y="12300756"/>
          <a:ext cx="3893819" cy="1548593"/>
          <a:chOff x="6358890" y="12710331"/>
          <a:chExt cx="3785234" cy="1548593"/>
        </a:xfrm>
      </xdr:grpSpPr>
      <xdr:sp macro="" textlink="">
        <xdr:nvSpPr>
          <xdr:cNvPr id="147" name="Passo" descr="EXPERIMENTE&#10;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10;">
            <a:extLst>
              <a:ext uri="{FF2B5EF4-FFF2-40B4-BE49-F238E27FC236}">
                <a16:creationId xmlns:a16="http://schemas.microsoft.com/office/drawing/2014/main" id="{00000000-0008-0000-0200-000093000000}"/>
              </a:ext>
            </a:extLst>
          </xdr:cNvPr>
          <xdr:cNvSpPr txBox="1"/>
        </xdr:nvSpPr>
        <xdr:spPr>
          <a:xfrm>
            <a:off x="6607610" y="12923419"/>
            <a:ext cx="3536514" cy="133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a:t>
            </a:r>
          </a:p>
        </xdr:txBody>
      </xdr:sp>
      <xdr:sp macro="" textlink="">
        <xdr:nvSpPr>
          <xdr:cNvPr id="149" name="Forma livre: forma 148" descr="Linha de chavetas">
            <a:extLst>
              <a:ext uri="{FF2B5EF4-FFF2-40B4-BE49-F238E27FC236}">
                <a16:creationId xmlns:a16="http://schemas.microsoft.com/office/drawing/2014/main" id="{00000000-0008-0000-0200-000095000000}"/>
              </a:ext>
            </a:extLst>
          </xdr:cNvPr>
          <xdr:cNvSpPr/>
        </xdr:nvSpPr>
        <xdr:spPr>
          <a:xfrm rot="5400000">
            <a:off x="7584178" y="12391129"/>
            <a:ext cx="181608" cy="8229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8" name="Forma livre: forma 197" descr="Linha de chavetas">
            <a:extLst>
              <a:ext uri="{FF2B5EF4-FFF2-40B4-BE49-F238E27FC236}">
                <a16:creationId xmlns:a16="http://schemas.microsoft.com/office/drawing/2014/main" id="{00000000-0008-0000-0200-0000C6000000}"/>
              </a:ext>
            </a:extLst>
          </xdr:cNvPr>
          <xdr:cNvSpPr/>
        </xdr:nvSpPr>
        <xdr:spPr>
          <a:xfrm rot="16200000" flipH="1">
            <a:off x="6678473" y="12390748"/>
            <a:ext cx="183793" cy="8229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 name="Arco 2">
            <a:extLst>
              <a:ext uri="{FF2B5EF4-FFF2-40B4-BE49-F238E27FC236}">
                <a16:creationId xmlns:a16="http://schemas.microsoft.com/office/drawing/2014/main" id="{00000000-0008-0000-0200-000003000000}"/>
              </a:ext>
            </a:extLst>
          </xdr:cNvPr>
          <xdr:cNvSpPr/>
        </xdr:nvSpPr>
        <xdr:spPr>
          <a:xfrm>
            <a:off x="7059967"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9" name="Arco 198">
            <a:extLst>
              <a:ext uri="{FF2B5EF4-FFF2-40B4-BE49-F238E27FC236}">
                <a16:creationId xmlns:a16="http://schemas.microsoft.com/office/drawing/2014/main" id="{00000000-0008-0000-0200-0000C7000000}"/>
              </a:ext>
            </a:extLst>
          </xdr:cNvPr>
          <xdr:cNvSpPr/>
        </xdr:nvSpPr>
        <xdr:spPr>
          <a:xfrm flipH="1">
            <a:off x="7235244"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áfico 96" descr="Gobelé">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10</xdr:row>
      <xdr:rowOff>0</xdr:rowOff>
    </xdr:from>
    <xdr:to>
      <xdr:col>4</xdr:col>
      <xdr:colOff>552450</xdr:colOff>
      <xdr:row>16</xdr:row>
      <xdr:rowOff>85724</xdr:rowOff>
    </xdr:to>
    <xdr:grpSp>
      <xdr:nvGrpSpPr>
        <xdr:cNvPr id="7" name="INFORMAÇÕES ÚTEIS" descr="INFORMAÇÕES ÚTEIS: Ctrl+E é o atalho da Pré-visualização da Conclusão Automática.">
          <a:extLst>
            <a:ext uri="{FF2B5EF4-FFF2-40B4-BE49-F238E27FC236}">
              <a16:creationId xmlns:a16="http://schemas.microsoft.com/office/drawing/2014/main" id="{00000000-0008-0000-0300-000007000000}"/>
            </a:ext>
          </a:extLst>
        </xdr:cNvPr>
        <xdr:cNvGrpSpPr/>
      </xdr:nvGrpSpPr>
      <xdr:grpSpPr>
        <a:xfrm>
          <a:off x="8601074" y="2476500"/>
          <a:ext cx="2162176" cy="1228724"/>
          <a:chOff x="8420099" y="2619375"/>
          <a:chExt cx="2057401" cy="1228724"/>
        </a:xfrm>
      </xdr:grpSpPr>
      <xdr:sp macro="" textlink="">
        <xdr:nvSpPr>
          <xdr:cNvPr id="102" name="Passo" descr="INFORMAÇÕES ÚTEIS&#10;Ctrl+E é o atalho da Pré-visualização da Conclusão Automática. &#10;">
            <a:extLst>
              <a:ext uri="{FF2B5EF4-FFF2-40B4-BE49-F238E27FC236}">
                <a16:creationId xmlns:a16="http://schemas.microsoft.com/office/drawing/2014/main" id="{00000000-0008-0000-0300-000066000000}"/>
              </a:ext>
            </a:extLst>
          </xdr:cNvPr>
          <xdr:cNvSpPr txBox="1"/>
        </xdr:nvSpPr>
        <xdr:spPr>
          <a:xfrm>
            <a:off x="8743781" y="2636226"/>
            <a:ext cx="173371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Ctrl+E é o atalho da Pré-visualização da Conclusão Automática. </a:t>
            </a:r>
            <a:endParaRPr lang="en-US" sz="1100">
              <a:effectLst/>
              <a:latin typeface="+mn-lt"/>
            </a:endParaRPr>
          </a:p>
        </xdr:txBody>
      </xdr:sp>
      <xdr:pic>
        <xdr:nvPicPr>
          <xdr:cNvPr id="103" name="Gráfico 147" descr="Óculo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14</xdr:col>
      <xdr:colOff>276225</xdr:colOff>
      <xdr:row>72</xdr:row>
      <xdr:rowOff>90237</xdr:rowOff>
    </xdr:to>
    <xdr:grpSp>
      <xdr:nvGrpSpPr>
        <xdr:cNvPr id="8" name="COMO FUNCIONA:"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97930" y="11239500"/>
          <a:ext cx="11931015" cy="3138237"/>
          <a:chOff x="6276975" y="11658600"/>
          <a:chExt cx="11182562" cy="3138237"/>
        </a:xfrm>
      </xdr:grpSpPr>
      <xdr:sp macro="" textlink="">
        <xdr:nvSpPr>
          <xdr:cNvPr id="104" name="Passo" descr="COMO FUNCIONA:">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sp macro="" textlink="">
        <xdr:nvSpPr>
          <xdr:cNvPr id="105" name="Caixa de texto 100" descr="=ESQUERDA(C56;LOCALIZAR(&quot; &quot;;C56)-1)">
            <a:extLst>
              <a:ext uri="{FF2B5EF4-FFF2-40B4-BE49-F238E27FC236}">
                <a16:creationId xmlns:a16="http://schemas.microsoft.com/office/drawing/2014/main" id="{00000000-0008-0000-0300-000069000000}"/>
              </a:ext>
            </a:extLst>
          </xdr:cNvPr>
          <xdr:cNvSpPr txBox="1"/>
        </xdr:nvSpPr>
        <xdr:spPr>
          <a:xfrm>
            <a:off x="6324978" y="13221358"/>
            <a:ext cx="4626140"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a:solidFill>
                  <a:srgbClr val="000000"/>
                </a:solidFill>
                <a:effectLst/>
                <a:latin typeface="Courier New" panose="02070309020205020404" pitchFamily="49" charset="0"/>
                <a:ea typeface="Times New Roman" panose="02020603050405020304" pitchFamily="18" charset="0"/>
              </a:rPr>
              <a:t>=ESQUERDA(C56;LOCALIZAR(" ";C56)-1)</a:t>
            </a:r>
            <a:endParaRPr lang="en-US" sz="1600" b="1">
              <a:effectLst/>
              <a:latin typeface="Courier New" panose="02070309020205020404" pitchFamily="49" charset="0"/>
              <a:ea typeface="Times New Roman" panose="02020603050405020304" pitchFamily="18" charset="0"/>
            </a:endParaRPr>
          </a:p>
        </xdr:txBody>
      </xdr:sp>
      <xdr:sp macro="" textlink="">
        <xdr:nvSpPr>
          <xdr:cNvPr id="106" name="Chaveta Esquerda 105" descr="Linha de chavetas">
            <a:extLst>
              <a:ext uri="{FF2B5EF4-FFF2-40B4-BE49-F238E27FC236}">
                <a16:creationId xmlns:a16="http://schemas.microsoft.com/office/drawing/2014/main" id="{00000000-0008-0000-0300-00006A000000}"/>
              </a:ext>
            </a:extLst>
          </xdr:cNvPr>
          <xdr:cNvSpPr/>
        </xdr:nvSpPr>
        <xdr:spPr>
          <a:xfrm rot="5400000">
            <a:off x="6918076" y="12723056"/>
            <a:ext cx="225836" cy="90301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07" name="Caixa de Texto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8" y="12049236"/>
            <a:ext cx="858275"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Extraia os carateres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do lado esquerdo...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31" name="Chaveta Esquerda 130" descr="Linha de chavetas">
            <a:extLst>
              <a:ext uri="{FF2B5EF4-FFF2-40B4-BE49-F238E27FC236}">
                <a16:creationId xmlns:a16="http://schemas.microsoft.com/office/drawing/2014/main" id="{00000000-0008-0000-0300-000083000000}"/>
              </a:ext>
            </a:extLst>
          </xdr:cNvPr>
          <xdr:cNvSpPr/>
        </xdr:nvSpPr>
        <xdr:spPr>
          <a:xfrm rot="5400000">
            <a:off x="7670447" y="12995605"/>
            <a:ext cx="245051" cy="35776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2" name="Caixa de Texto 2" descr="…desta célula...">
            <a:extLst>
              <a:ext uri="{FF2B5EF4-FFF2-40B4-BE49-F238E27FC236}">
                <a16:creationId xmlns:a16="http://schemas.microsoft.com/office/drawing/2014/main" id="{00000000-0008-0000-0300-000084000000}"/>
              </a:ext>
            </a:extLst>
          </xdr:cNvPr>
          <xdr:cNvSpPr txBox="1">
            <a:spLocks noChangeArrowheads="1"/>
          </xdr:cNvSpPr>
        </xdr:nvSpPr>
        <xdr:spPr bwMode="auto">
          <a:xfrm>
            <a:off x="7251811" y="12048409"/>
            <a:ext cx="665939"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133" name="Caixa de Texto 2" descr="...e extraia estes carateres. Para especificar o número de carateres, utilize a função LOCALIZAR...">
            <a:extLst>
              <a:ext uri="{FF2B5EF4-FFF2-40B4-BE49-F238E27FC236}">
                <a16:creationId xmlns:a16="http://schemas.microsoft.com/office/drawing/2014/main" id="{00000000-0008-0000-0300-000085000000}"/>
              </a:ext>
            </a:extLst>
          </xdr:cNvPr>
          <xdr:cNvSpPr txBox="1">
            <a:spLocks noChangeArrowheads="1"/>
          </xdr:cNvSpPr>
        </xdr:nvSpPr>
        <xdr:spPr bwMode="auto">
          <a:xfrm>
            <a:off x="7944492" y="12048406"/>
            <a:ext cx="2230458"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extraia estes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carateres. Para especificar o número de caracteres, utilize a função LOCALIZAR...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4" name="Chaveta Esquerda 133" descr="Linha de chavetas">
            <a:extLst>
              <a:ext uri="{FF2B5EF4-FFF2-40B4-BE49-F238E27FC236}">
                <a16:creationId xmlns:a16="http://schemas.microsoft.com/office/drawing/2014/main" id="{00000000-0008-0000-0300-000086000000}"/>
              </a:ext>
            </a:extLst>
          </xdr:cNvPr>
          <xdr:cNvSpPr/>
        </xdr:nvSpPr>
        <xdr:spPr>
          <a:xfrm rot="5400000">
            <a:off x="8967830" y="12155949"/>
            <a:ext cx="229093" cy="20333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5" name="Caixa de Texto 2" descr="...e localize o número da posição do caráter do...">
            <a:extLst>
              <a:ext uri="{FF2B5EF4-FFF2-40B4-BE49-F238E27FC236}">
                <a16:creationId xmlns:a16="http://schemas.microsoft.com/office/drawing/2014/main" id="{00000000-0008-0000-0300-000087000000}"/>
              </a:ext>
            </a:extLst>
          </xdr:cNvPr>
          <xdr:cNvSpPr txBox="1">
            <a:spLocks noChangeArrowheads="1"/>
          </xdr:cNvSpPr>
        </xdr:nvSpPr>
        <xdr:spPr bwMode="auto">
          <a:xfrm>
            <a:off x="7910338"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localize</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 número da posição do caráter do...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6" name="Chaveta Esquerda 135" descr="Linha de chavetas">
            <a:extLst>
              <a:ext uri="{FF2B5EF4-FFF2-40B4-BE49-F238E27FC236}">
                <a16:creationId xmlns:a16="http://schemas.microsoft.com/office/drawing/2014/main" id="{00000000-0008-0000-0300-000088000000}"/>
              </a:ext>
            </a:extLst>
          </xdr:cNvPr>
          <xdr:cNvSpPr/>
        </xdr:nvSpPr>
        <xdr:spPr>
          <a:xfrm rot="16200000">
            <a:off x="8509582" y="13066324"/>
            <a:ext cx="229093" cy="1088855"/>
          </a:xfrm>
          <a:prstGeom prst="leftBrace">
            <a:avLst>
              <a:gd name="adj1" fmla="val 8333"/>
              <a:gd name="adj2" fmla="val 43493"/>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7" name="Caixa de Texto 2" descr="...primeiro espaço...">
            <a:extLst>
              <a:ext uri="{FF2B5EF4-FFF2-40B4-BE49-F238E27FC236}">
                <a16:creationId xmlns:a16="http://schemas.microsoft.com/office/drawing/2014/main" id="{00000000-0008-0000-0300-000089000000}"/>
              </a:ext>
            </a:extLst>
          </xdr:cNvPr>
          <xdr:cNvSpPr txBox="1">
            <a:spLocks noChangeArrowheads="1"/>
          </xdr:cNvSpPr>
        </xdr:nvSpPr>
        <xdr:spPr bwMode="auto">
          <a:xfrm>
            <a:off x="8849245" y="13736322"/>
            <a:ext cx="7740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...primeiro espaço...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8" name="Chaveta Esquerda 137" descr="Linha de chavetas">
            <a:extLst>
              <a:ext uri="{FF2B5EF4-FFF2-40B4-BE49-F238E27FC236}">
                <a16:creationId xmlns:a16="http://schemas.microsoft.com/office/drawing/2014/main" id="{00000000-0008-0000-0300-00008A000000}"/>
              </a:ext>
            </a:extLst>
          </xdr:cNvPr>
          <xdr:cNvSpPr/>
        </xdr:nvSpPr>
        <xdr:spPr>
          <a:xfrm rot="16200000">
            <a:off x="933156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aixa de Texto 2" descr="...nesta célula">
            <a:extLst>
              <a:ext uri="{FF2B5EF4-FFF2-40B4-BE49-F238E27FC236}">
                <a16:creationId xmlns:a16="http://schemas.microsoft.com/office/drawing/2014/main" id="{00000000-0008-0000-0300-00008B000000}"/>
              </a:ext>
            </a:extLst>
          </xdr:cNvPr>
          <xdr:cNvSpPr txBox="1">
            <a:spLocks noChangeArrowheads="1"/>
          </xdr:cNvSpPr>
        </xdr:nvSpPr>
        <xdr:spPr bwMode="auto">
          <a:xfrm>
            <a:off x="9643924" y="13736322"/>
            <a:ext cx="622123"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t>
            </a:r>
            <a:r>
              <a:rPr lang="pt-pt" sz="1100" baseline="0">
                <a:effectLst/>
                <a:latin typeface="Calibri" panose="020F0502020204030204" pitchFamily="34" charset="0"/>
                <a:ea typeface="Calibri" panose="020F0502020204030204" pitchFamily="34" charset="0"/>
                <a:cs typeface="Times New Roman" panose="02020603050405020304" pitchFamily="18" charset="0"/>
              </a:rPr>
              <a:t>nesta célula.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0" name="Chaveta Esquerda 139" descr="Linha de chavetas">
            <a:extLst>
              <a:ext uri="{FF2B5EF4-FFF2-40B4-BE49-F238E27FC236}">
                <a16:creationId xmlns:a16="http://schemas.microsoft.com/office/drawing/2014/main" id="{00000000-0008-0000-0300-00008C000000}"/>
              </a:ext>
            </a:extLst>
          </xdr:cNvPr>
          <xdr:cNvSpPr/>
        </xdr:nvSpPr>
        <xdr:spPr>
          <a:xfrm rot="16200000">
            <a:off x="9796132"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1" name="Caixa de Texto 2" descr="...Em seguida, subtraia 1 para excluir o próprio espaço">
            <a:extLst>
              <a:ext uri="{FF2B5EF4-FFF2-40B4-BE49-F238E27FC236}">
                <a16:creationId xmlns:a16="http://schemas.microsoft.com/office/drawing/2014/main" id="{00000000-0008-0000-0300-00008D000000}"/>
              </a:ext>
            </a:extLst>
          </xdr:cNvPr>
          <xdr:cNvSpPr txBox="1">
            <a:spLocks noChangeArrowheads="1"/>
          </xdr:cNvSpPr>
        </xdr:nvSpPr>
        <xdr:spPr bwMode="auto">
          <a:xfrm>
            <a:off x="10284018" y="13734332"/>
            <a:ext cx="1105570" cy="103516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seguida, subtraia 1 para excluir o próprio espaço.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2" name="Chaveta Esquerda 141" descr="Linha de chavetas">
            <a:extLst>
              <a:ext uri="{FF2B5EF4-FFF2-40B4-BE49-F238E27FC236}">
                <a16:creationId xmlns:a16="http://schemas.microsoft.com/office/drawing/2014/main" id="{00000000-0008-0000-0300-00008E000000}"/>
              </a:ext>
            </a:extLst>
          </xdr:cNvPr>
          <xdr:cNvSpPr/>
        </xdr:nvSpPr>
        <xdr:spPr>
          <a:xfrm rot="16200000" flipV="1">
            <a:off x="10253127"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3" name="Forma Livre: Forma 142" descr="Linha de chavetas">
            <a:extLst>
              <a:ext uri="{FF2B5EF4-FFF2-40B4-BE49-F238E27FC236}">
                <a16:creationId xmlns:a16="http://schemas.microsoft.com/office/drawing/2014/main" id="{00000000-0008-0000-0300-00008F000000}"/>
              </a:ext>
            </a:extLst>
          </xdr:cNvPr>
          <xdr:cNvSpPr/>
        </xdr:nvSpPr>
        <xdr:spPr>
          <a:xfrm>
            <a:off x="6800849" y="11658600"/>
            <a:ext cx="3460137"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Chaveta Esquerda 143" descr="Linha de chavetas">
            <a:extLst>
              <a:ext uri="{FF2B5EF4-FFF2-40B4-BE49-F238E27FC236}">
                <a16:creationId xmlns:a16="http://schemas.microsoft.com/office/drawing/2014/main" id="{00000000-0008-0000-0300-000090000000}"/>
              </a:ext>
            </a:extLst>
          </xdr:cNvPr>
          <xdr:cNvSpPr/>
        </xdr:nvSpPr>
        <xdr:spPr>
          <a:xfrm rot="5400000">
            <a:off x="11283301" y="12721306"/>
            <a:ext cx="216320" cy="92484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5" name="Caixa de Texto 2">
            <a:extLst>
              <a:ext uri="{FF2B5EF4-FFF2-40B4-BE49-F238E27FC236}">
                <a16:creationId xmlns:a16="http://schemas.microsoft.com/office/drawing/2014/main" id="{00000000-0008-0000-0300-000091000000}"/>
              </a:ext>
            </a:extLst>
          </xdr:cNvPr>
          <xdr:cNvSpPr txBox="1">
            <a:spLocks noChangeArrowheads="1"/>
          </xdr:cNvSpPr>
        </xdr:nvSpPr>
        <xdr:spPr bwMode="auto">
          <a:xfrm>
            <a:off x="11097240"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Extraia os caracteres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do lado direito...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6" name="Chaveta Esquerda 145" descr="Linha de chavetas">
            <a:extLst>
              <a:ext uri="{FF2B5EF4-FFF2-40B4-BE49-F238E27FC236}">
                <a16:creationId xmlns:a16="http://schemas.microsoft.com/office/drawing/2014/main" id="{00000000-0008-0000-0300-000092000000}"/>
              </a:ext>
            </a:extLst>
          </xdr:cNvPr>
          <xdr:cNvSpPr/>
        </xdr:nvSpPr>
        <xdr:spPr>
          <a:xfrm rot="5400000">
            <a:off x="12072941" y="12979729"/>
            <a:ext cx="245051" cy="41736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7" name="Caixa de Texto 2" descr="…desta célula...">
            <a:extLst>
              <a:ext uri="{FF2B5EF4-FFF2-40B4-BE49-F238E27FC236}">
                <a16:creationId xmlns:a16="http://schemas.microsoft.com/office/drawing/2014/main" id="{00000000-0008-0000-0300-000093000000}"/>
              </a:ext>
            </a:extLst>
          </xdr:cNvPr>
          <xdr:cNvSpPr txBox="1">
            <a:spLocks noChangeArrowheads="1"/>
          </xdr:cNvSpPr>
        </xdr:nvSpPr>
        <xdr:spPr bwMode="auto">
          <a:xfrm>
            <a:off x="11951705"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148" name="Caixa de Texto 2" descr="...e extraia estes carateres. Para especificar o número de carateres, utilize a função NÚM.CARAT...">
            <a:extLst>
              <a:ext uri="{FF2B5EF4-FFF2-40B4-BE49-F238E27FC236}">
                <a16:creationId xmlns:a16="http://schemas.microsoft.com/office/drawing/2014/main" id="{00000000-0008-0000-0300-000094000000}"/>
              </a:ext>
            </a:extLst>
          </xdr:cNvPr>
          <xdr:cNvSpPr txBox="1">
            <a:spLocks noChangeArrowheads="1"/>
          </xdr:cNvSpPr>
        </xdr:nvSpPr>
        <xdr:spPr bwMode="auto">
          <a:xfrm>
            <a:off x="12652133" y="12062328"/>
            <a:ext cx="2959939"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extraia estes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carateres. Para especificar o número de caracteres, utilize a função NÚM.CARAT...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9" name="Chaveta Esquerda 148" descr="Linha de chavetas">
            <a:extLst>
              <a:ext uri="{FF2B5EF4-FFF2-40B4-BE49-F238E27FC236}">
                <a16:creationId xmlns:a16="http://schemas.microsoft.com/office/drawing/2014/main" id="{00000000-0008-0000-0300-000095000000}"/>
              </a:ext>
            </a:extLst>
          </xdr:cNvPr>
          <xdr:cNvSpPr/>
        </xdr:nvSpPr>
        <xdr:spPr>
          <a:xfrm rot="5400000">
            <a:off x="14562532" y="11027639"/>
            <a:ext cx="219905" cy="4308592"/>
          </a:xfrm>
          <a:prstGeom prst="leftBrace">
            <a:avLst>
              <a:gd name="adj1" fmla="val 8333"/>
              <a:gd name="adj2" fmla="val 58927"/>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0" name="Caixa de texto 100" descr="=DIREITA(C56;NÚM.CARAT(C56)-LOCALIZAR(&quot; &quot;;C56))">
            <a:extLst>
              <a:ext uri="{FF2B5EF4-FFF2-40B4-BE49-F238E27FC236}">
                <a16:creationId xmlns:a16="http://schemas.microsoft.com/office/drawing/2014/main" id="{00000000-0008-0000-0300-000096000000}"/>
              </a:ext>
            </a:extLst>
          </xdr:cNvPr>
          <xdr:cNvSpPr txBox="1"/>
        </xdr:nvSpPr>
        <xdr:spPr>
          <a:xfrm>
            <a:off x="10728233" y="13242324"/>
            <a:ext cx="673130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spc="100">
                <a:solidFill>
                  <a:srgbClr val="000000"/>
                </a:solidFill>
                <a:effectLst/>
                <a:latin typeface="Courier New" panose="02070309020205020404" pitchFamily="49" charset="0"/>
                <a:ea typeface="Times New Roman" panose="02020603050405020304" pitchFamily="18" charset="0"/>
              </a:rPr>
              <a:t>=DIREITA(C56;NÚM.CARAT(C56)-LOCALIZAR("</a:t>
            </a:r>
            <a:r>
              <a:rPr lang="pt-pt" sz="1600" b="1" spc="100" baseline="0">
                <a:solidFill>
                  <a:srgbClr val="000000"/>
                </a:solidFill>
                <a:effectLst/>
                <a:latin typeface="Courier New" panose="02070309020205020404" pitchFamily="49" charset="0"/>
                <a:ea typeface="Times New Roman" panose="02020603050405020304" pitchFamily="18" charset="0"/>
              </a:rPr>
              <a:t> "</a:t>
            </a:r>
            <a:r>
              <a:rPr lang="pt-PT" sz="1100" b="1">
                <a:solidFill>
                  <a:schemeClr val="dk1"/>
                </a:solidFill>
                <a:effectLst/>
                <a:latin typeface="+mn-lt"/>
                <a:ea typeface="+mn-ea"/>
                <a:cs typeface="+mn-cs"/>
              </a:rPr>
              <a:t>; </a:t>
            </a:r>
            <a:r>
              <a:rPr lang="pt-pt" sz="1600" b="1" spc="100" baseline="0">
                <a:solidFill>
                  <a:srgbClr val="000000"/>
                </a:solidFill>
                <a:effectLst/>
                <a:latin typeface="Courier New" panose="02070309020205020404" pitchFamily="49" charset="0"/>
                <a:ea typeface="Times New Roman" panose="02020603050405020304" pitchFamily="18" charset="0"/>
              </a:rPr>
              <a:t>C56</a:t>
            </a:r>
            <a:r>
              <a:rPr lang="pt-pt"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Courier New" panose="02070309020205020404" pitchFamily="49" charset="0"/>
              <a:ea typeface="Times New Roman" panose="02020603050405020304" pitchFamily="18" charset="0"/>
            </a:endParaRPr>
          </a:p>
        </xdr:txBody>
      </xdr:sp>
      <xdr:sp macro="" textlink="">
        <xdr:nvSpPr>
          <xdr:cNvPr id="151" name="Caixa de Texto 2">
            <a:extLst>
              <a:ext uri="{FF2B5EF4-FFF2-40B4-BE49-F238E27FC236}">
                <a16:creationId xmlns:a16="http://schemas.microsoft.com/office/drawing/2014/main" id="{00000000-0008-0000-0300-000097000000}"/>
              </a:ext>
            </a:extLst>
          </xdr:cNvPr>
          <xdr:cNvSpPr txBox="1">
            <a:spLocks noChangeArrowheads="1"/>
          </xdr:cNvSpPr>
        </xdr:nvSpPr>
        <xdr:spPr bwMode="auto">
          <a:xfrm>
            <a:off x="12187421"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obtenha a </a:t>
            </a:r>
            <a:r>
              <a:rPr lang="pt-pt" sz="1100" baseline="0">
                <a:effectLst/>
                <a:latin typeface="Calibri" panose="020F0502020204030204" pitchFamily="34" charset="0"/>
                <a:ea typeface="Calibri" panose="020F0502020204030204" pitchFamily="34" charset="0"/>
                <a:cs typeface="Times New Roman" panose="02020603050405020304" pitchFamily="18" charset="0"/>
              </a:rPr>
              <a:t>contagem de caracteres (comprimento de caracteres)...</a:t>
            </a: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52" name="Chaveta Esquerda 151" descr="Linha de chavetas">
            <a:extLst>
              <a:ext uri="{FF2B5EF4-FFF2-40B4-BE49-F238E27FC236}">
                <a16:creationId xmlns:a16="http://schemas.microsoft.com/office/drawing/2014/main" id="{00000000-0008-0000-0300-000098000000}"/>
              </a:ext>
            </a:extLst>
          </xdr:cNvPr>
          <xdr:cNvSpPr/>
        </xdr:nvSpPr>
        <xdr:spPr>
          <a:xfrm rot="16200000">
            <a:off x="12988942" y="13034311"/>
            <a:ext cx="248484" cy="120011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3" name="Caixa de Texto 2" descr="…desta célula...">
            <a:extLst>
              <a:ext uri="{FF2B5EF4-FFF2-40B4-BE49-F238E27FC236}">
                <a16:creationId xmlns:a16="http://schemas.microsoft.com/office/drawing/2014/main" id="{00000000-0008-0000-0300-000099000000}"/>
              </a:ext>
            </a:extLst>
          </xdr:cNvPr>
          <xdr:cNvSpPr txBox="1">
            <a:spLocks noChangeArrowheads="1"/>
          </xdr:cNvSpPr>
        </xdr:nvSpPr>
        <xdr:spPr bwMode="auto">
          <a:xfrm>
            <a:off x="13400172" y="13759768"/>
            <a:ext cx="62619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154" name="Chaveta Esquerda 153" descr="Linha de chavetas">
            <a:extLst>
              <a:ext uri="{FF2B5EF4-FFF2-40B4-BE49-F238E27FC236}">
                <a16:creationId xmlns:a16="http://schemas.microsoft.com/office/drawing/2014/main" id="{00000000-0008-0000-0300-00009A000000}"/>
              </a:ext>
            </a:extLst>
          </xdr:cNvPr>
          <xdr:cNvSpPr/>
        </xdr:nvSpPr>
        <xdr:spPr>
          <a:xfrm rot="16200000">
            <a:off x="13940864" y="13403308"/>
            <a:ext cx="248484" cy="462120"/>
          </a:xfrm>
          <a:prstGeom prst="leftBrace">
            <a:avLst>
              <a:gd name="adj1" fmla="val 8333"/>
              <a:gd name="adj2" fmla="val 105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5" name="Caixa de Texto 2" descr="...e subtraia este número:">
            <a:extLst>
              <a:ext uri="{FF2B5EF4-FFF2-40B4-BE49-F238E27FC236}">
                <a16:creationId xmlns:a16="http://schemas.microsoft.com/office/drawing/2014/main" id="{00000000-0008-0000-0300-00009B000000}"/>
              </a:ext>
            </a:extLst>
          </xdr:cNvPr>
          <xdr:cNvSpPr txBox="1">
            <a:spLocks noChangeArrowheads="1"/>
          </xdr:cNvSpPr>
        </xdr:nvSpPr>
        <xdr:spPr bwMode="auto">
          <a:xfrm>
            <a:off x="14046606" y="13759768"/>
            <a:ext cx="69841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subtraia este número:</a:t>
            </a:r>
          </a:p>
        </xdr:txBody>
      </xdr:sp>
      <xdr:sp macro="" textlink="">
        <xdr:nvSpPr>
          <xdr:cNvPr id="156" name="Chaveta Esquerda 155" descr="Linha de chavetas">
            <a:extLst>
              <a:ext uri="{FF2B5EF4-FFF2-40B4-BE49-F238E27FC236}">
                <a16:creationId xmlns:a16="http://schemas.microsoft.com/office/drawing/2014/main" id="{00000000-0008-0000-0300-00009C000000}"/>
              </a:ext>
            </a:extLst>
          </xdr:cNvPr>
          <xdr:cNvSpPr/>
        </xdr:nvSpPr>
        <xdr:spPr>
          <a:xfrm rot="16200000">
            <a:off x="14303419"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7" name="Caixa de Texto 2" descr="Localize o número da posição do caráter do...">
            <a:extLst>
              <a:ext uri="{FF2B5EF4-FFF2-40B4-BE49-F238E27FC236}">
                <a16:creationId xmlns:a16="http://schemas.microsoft.com/office/drawing/2014/main" id="{00000000-0008-0000-0300-00009D000000}"/>
              </a:ext>
            </a:extLst>
          </xdr:cNvPr>
          <xdr:cNvSpPr txBox="1">
            <a:spLocks noChangeArrowheads="1"/>
          </xdr:cNvSpPr>
        </xdr:nvSpPr>
        <xdr:spPr bwMode="auto">
          <a:xfrm>
            <a:off x="14766910" y="13759768"/>
            <a:ext cx="990312"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Localize</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 número da posição do caracter do...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58" name="Chaveta Esquerda 157" descr="Linha de chavetas">
            <a:extLst>
              <a:ext uri="{FF2B5EF4-FFF2-40B4-BE49-F238E27FC236}">
                <a16:creationId xmlns:a16="http://schemas.microsoft.com/office/drawing/2014/main" id="{00000000-0008-0000-0300-00009E000000}"/>
              </a:ext>
            </a:extLst>
          </xdr:cNvPr>
          <xdr:cNvSpPr/>
        </xdr:nvSpPr>
        <xdr:spPr>
          <a:xfrm rot="16200000">
            <a:off x="14980629" y="13046777"/>
            <a:ext cx="248484" cy="1175184"/>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9" name="Caixa de Texto 2" descr="...primeiro espaço...">
            <a:extLst>
              <a:ext uri="{FF2B5EF4-FFF2-40B4-BE49-F238E27FC236}">
                <a16:creationId xmlns:a16="http://schemas.microsoft.com/office/drawing/2014/main" id="{00000000-0008-0000-0300-00009F000000}"/>
              </a:ext>
            </a:extLst>
          </xdr:cNvPr>
          <xdr:cNvSpPr txBox="1">
            <a:spLocks noChangeArrowheads="1"/>
          </xdr:cNvSpPr>
        </xdr:nvSpPr>
        <xdr:spPr bwMode="auto">
          <a:xfrm>
            <a:off x="15770547" y="13759768"/>
            <a:ext cx="8014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...primeiro espaço...</a:t>
            </a:r>
          </a:p>
        </xdr:txBody>
      </xdr:sp>
      <xdr:sp macro="" textlink="">
        <xdr:nvSpPr>
          <xdr:cNvPr id="160" name="Chaveta Esquerda 159" descr="Linha de chavetas">
            <a:extLst>
              <a:ext uri="{FF2B5EF4-FFF2-40B4-BE49-F238E27FC236}">
                <a16:creationId xmlns:a16="http://schemas.microsoft.com/office/drawing/2014/main" id="{00000000-0008-0000-0300-0000A0000000}"/>
              </a:ext>
            </a:extLst>
          </xdr:cNvPr>
          <xdr:cNvSpPr/>
        </xdr:nvSpPr>
        <xdr:spPr>
          <a:xfrm rot="16200000">
            <a:off x="15906138" y="13429793"/>
            <a:ext cx="257175" cy="39143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1" name="Caixa de Texto 2" descr="...nesta célula">
            <a:extLst>
              <a:ext uri="{FF2B5EF4-FFF2-40B4-BE49-F238E27FC236}">
                <a16:creationId xmlns:a16="http://schemas.microsoft.com/office/drawing/2014/main" id="{00000000-0008-0000-0300-0000A1000000}"/>
              </a:ext>
            </a:extLst>
          </xdr:cNvPr>
          <xdr:cNvSpPr txBox="1">
            <a:spLocks noChangeArrowheads="1"/>
          </xdr:cNvSpPr>
        </xdr:nvSpPr>
        <xdr:spPr bwMode="auto">
          <a:xfrm>
            <a:off x="16585670" y="13759768"/>
            <a:ext cx="659482"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t>
            </a:r>
            <a:r>
              <a:rPr lang="pt-pt" sz="1100" baseline="0">
                <a:effectLst/>
                <a:latin typeface="Calibri" panose="020F0502020204030204" pitchFamily="34" charset="0"/>
                <a:ea typeface="Calibri" panose="020F0502020204030204" pitchFamily="34" charset="0"/>
                <a:cs typeface="Times New Roman" panose="02020603050405020304" pitchFamily="18" charset="0"/>
              </a:rPr>
              <a:t>nesta célula.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62" name="Chaveta Esquerda 161" descr="Linha de chavetas">
            <a:extLst>
              <a:ext uri="{FF2B5EF4-FFF2-40B4-BE49-F238E27FC236}">
                <a16:creationId xmlns:a16="http://schemas.microsoft.com/office/drawing/2014/main" id="{00000000-0008-0000-0300-0000A2000000}"/>
              </a:ext>
            </a:extLst>
          </xdr:cNvPr>
          <xdr:cNvSpPr/>
        </xdr:nvSpPr>
        <xdr:spPr>
          <a:xfrm rot="16200000">
            <a:off x="16422170" y="13419211"/>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3" name="Passo" descr="COMO FUNCIONA:">
            <a:extLst>
              <a:ext uri="{FF2B5EF4-FFF2-40B4-BE49-F238E27FC236}">
                <a16:creationId xmlns:a16="http://schemas.microsoft.com/office/drawing/2014/main" id="{00000000-0008-0000-0300-0000A3000000}"/>
              </a:ext>
            </a:extLst>
          </xdr:cNvPr>
          <xdr:cNvSpPr txBox="1"/>
        </xdr:nvSpPr>
        <xdr:spPr>
          <a:xfrm>
            <a:off x="10988835"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cxnSp macro="">
        <xdr:nvCxnSpPr>
          <xdr:cNvPr id="6" name="Conexão Reta 5" descr="Linha decorativa">
            <a:extLst>
              <a:ext uri="{FF2B5EF4-FFF2-40B4-BE49-F238E27FC236}">
                <a16:creationId xmlns:a16="http://schemas.microsoft.com/office/drawing/2014/main" id="{00000000-0008-0000-0300-000006000000}"/>
              </a:ext>
            </a:extLst>
          </xdr:cNvPr>
          <xdr:cNvCxnSpPr/>
        </xdr:nvCxnSpPr>
        <xdr:spPr>
          <a:xfrm>
            <a:off x="11581135"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49</xdr:row>
      <xdr:rowOff>20783</xdr:rowOff>
    </xdr:from>
    <xdr:to>
      <xdr:col>1</xdr:col>
      <xdr:colOff>5245678</xdr:colOff>
      <xdr:row>79</xdr:row>
      <xdr:rowOff>19051</xdr:rowOff>
    </xdr:to>
    <xdr:grpSp>
      <xdr:nvGrpSpPr>
        <xdr:cNvPr id="4" name="Dividir uma coluna com fó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926783"/>
          <a:ext cx="5716039" cy="5713268"/>
          <a:chOff x="398319" y="10117281"/>
          <a:chExt cx="5695084" cy="5801493"/>
        </a:xfrm>
      </xdr:grpSpPr>
      <xdr:sp macro="" textlink="">
        <xdr:nvSpPr>
          <xdr:cNvPr id="166" name="Retângulo 165" descr="Fundo">
            <a:extLst>
              <a:ext uri="{FF2B5EF4-FFF2-40B4-BE49-F238E27FC236}">
                <a16:creationId xmlns:a16="http://schemas.microsoft.com/office/drawing/2014/main" id="{00000000-0008-0000-0300-0000A6000000}"/>
              </a:ext>
            </a:extLst>
          </xdr:cNvPr>
          <xdr:cNvSpPr/>
        </xdr:nvSpPr>
        <xdr:spPr>
          <a:xfrm>
            <a:off x="398319" y="10117281"/>
            <a:ext cx="5695084" cy="580149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7" name="Passo" descr="Dividir uma coluna com fó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Dividir uma coluna com fórmulas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Conexão Reta 167" descr="Linha decorativa">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Conexão Reta 168" descr="Linha decorativa">
            <a:extLst>
              <a:ext uri="{FF2B5EF4-FFF2-40B4-BE49-F238E27FC236}">
                <a16:creationId xmlns:a16="http://schemas.microsoft.com/office/drawing/2014/main" id="{00000000-0008-0000-0300-0000A9000000}"/>
              </a:ext>
            </a:extLst>
          </xdr:cNvPr>
          <xdr:cNvCxnSpPr>
            <a:cxnSpLocks/>
          </xdr:cNvCxnSpPr>
        </xdr:nvCxnSpPr>
        <xdr:spPr>
          <a:xfrm>
            <a:off x="633207" y="15652958"/>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Passo" descr="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56. Certifique-se de que segue o diagrama à direita à medida que efetua estes passos:">
            <a:extLst>
              <a:ext uri="{FF2B5EF4-FFF2-40B4-BE49-F238E27FC236}">
                <a16:creationId xmlns:a16="http://schemas.microsoft.com/office/drawing/2014/main" id="{00000000-0008-0000-0300-0000AA000000}"/>
              </a:ext>
            </a:extLst>
          </xdr:cNvPr>
          <xdr:cNvSpPr txBox="1"/>
        </xdr:nvSpPr>
        <xdr:spPr>
          <a:xfrm>
            <a:off x="626884" y="10826527"/>
            <a:ext cx="5211941" cy="1407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C56. Certifique-se de que segue o diagrama à direita à medida que efetua estes passos:</a:t>
            </a:r>
          </a:p>
        </xdr:txBody>
      </xdr:sp>
      <xdr:sp macro="" textlink="">
        <xdr:nvSpPr>
          <xdr:cNvPr id="171" name="Passo"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244873"/>
            <a:ext cx="4916120"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na célula amarela com </a:t>
            </a:r>
            <a:r>
              <a:rPr lang="pt-pt" sz="1100" b="1">
                <a:solidFill>
                  <a:schemeClr val="tx1">
                    <a:lumMod val="75000"/>
                    <a:lumOff val="25000"/>
                  </a:schemeClr>
                </a:solidFill>
                <a:latin typeface="Segoe UI" panose="020B0502040204020203" pitchFamily="34" charset="0"/>
                <a:cs typeface="Segoe UI" panose="020B0502040204020203" pitchFamily="34" charset="0"/>
              </a:rPr>
              <a:t>Yvonne</a:t>
            </a:r>
            <a:r>
              <a:rPr lang="pt-pt" sz="1100">
                <a:solidFill>
                  <a:schemeClr val="tx1">
                    <a:lumMod val="75000"/>
                    <a:lumOff val="25000"/>
                  </a:schemeClr>
                </a:solidFill>
                <a:latin typeface="Segoe UI" panose="020B0502040204020203" pitchFamily="34" charset="0"/>
                <a:cs typeface="Segoe UI" panose="020B0502040204020203" pitchFamily="34" charset="0"/>
              </a:rPr>
              <a:t>. Utilizámos a função ESQUERDA para extrair os carateres do lado esquerdo da célula C56. Para especificar o número de carateres a extrair, utilizámos a função LOCALIZAR. Leia o diagrama</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b="0" baseline="0">
                <a:solidFill>
                  <a:schemeClr val="tx1">
                    <a:lumMod val="75000"/>
                    <a:lumOff val="25000"/>
                  </a:schemeClr>
                </a:solidFill>
                <a:latin typeface="Segoe UI" panose="020B0502040204020203" pitchFamily="34" charset="0"/>
                <a:cs typeface="Segoe UI" panose="020B0502040204020203" pitchFamily="34" charset="0"/>
              </a:rPr>
              <a:t>"</a:t>
            </a:r>
            <a:r>
              <a:rPr lang="pt-pt" sz="1100" b="1" baseline="0">
                <a:solidFill>
                  <a:schemeClr val="tx1">
                    <a:lumMod val="75000"/>
                    <a:lumOff val="25000"/>
                  </a:schemeClr>
                </a:solidFill>
                <a:latin typeface="Segoe UI" panose="020B0502040204020203" pitchFamily="34" charset="0"/>
                <a:cs typeface="Segoe UI" panose="020B0502040204020203" pitchFamily="34" charset="0"/>
              </a:rPr>
              <a:t>Como funciona</a:t>
            </a:r>
            <a:r>
              <a:rPr lang="pt-pt" sz="1100" baseline="0">
                <a:solidFill>
                  <a:schemeClr val="tx1">
                    <a:lumMod val="75000"/>
                    <a:lumOff val="25000"/>
                  </a:schemeClr>
                </a:solidFill>
                <a:latin typeface="Segoe UI" panose="020B0502040204020203" pitchFamily="34" charset="0"/>
                <a:cs typeface="Segoe UI" panose="020B0502040204020203" pitchFamily="34" charset="0"/>
              </a:rPr>
              <a:t>" e prima Esc quando terminar. </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299097"/>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73" name="Passo" descr="Também criámos uma [Coluna de ajuda]. Isto serviu apenas para &quot;ajudar&quot; a extrair o restante texto na célula. É apenas algo temporário e que pode ocultar mais tarde.">
            <a:extLst>
              <a:ext uri="{FF2B5EF4-FFF2-40B4-BE49-F238E27FC236}">
                <a16:creationId xmlns:a16="http://schemas.microsoft.com/office/drawing/2014/main" id="{00000000-0008-0000-0300-0000AD000000}"/>
              </a:ext>
            </a:extLst>
          </xdr:cNvPr>
          <xdr:cNvSpPr txBox="1"/>
        </xdr:nvSpPr>
        <xdr:spPr>
          <a:xfrm>
            <a:off x="1037004" y="13104266"/>
            <a:ext cx="4808786" cy="647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Também criámos uma </a:t>
            </a:r>
            <a:r>
              <a:rPr lang="pt-pt" sz="1100" b="1">
                <a:solidFill>
                  <a:schemeClr val="tx1">
                    <a:lumMod val="75000"/>
                    <a:lumOff val="25000"/>
                  </a:schemeClr>
                </a:solidFill>
                <a:latin typeface="Segoe UI" panose="020B0502040204020203" pitchFamily="34" charset="0"/>
                <a:cs typeface="Segoe UI" panose="020B0502040204020203" pitchFamily="34" charset="0"/>
              </a:rPr>
              <a:t>[Coluna de ajuda]</a:t>
            </a:r>
            <a:r>
              <a:rPr lang="pt-pt" sz="1100">
                <a:solidFill>
                  <a:schemeClr val="tx1">
                    <a:lumMod val="75000"/>
                    <a:lumOff val="25000"/>
                  </a:schemeClr>
                </a:solidFill>
                <a:latin typeface="Segoe UI" panose="020B0502040204020203" pitchFamily="34" charset="0"/>
                <a:cs typeface="Segoe UI" panose="020B0502040204020203" pitchFamily="34" charset="0"/>
              </a:rPr>
              <a:t>. Isto serviu apenas para "ajudar" a extrair o restante texto na célula. É suposto ser temporária e algo que pode ocultar mais tarde.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3119799"/>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75" name="Passo" descr="Faça duplo clique em Andrade. Esta é a mesma fórmula do passo 3, mas extrai carateres da célula F56 em vez de extrair da célula C56">
            <a:extLst>
              <a:ext uri="{FF2B5EF4-FFF2-40B4-BE49-F238E27FC236}">
                <a16:creationId xmlns:a16="http://schemas.microsoft.com/office/drawing/2014/main" id="{00000000-0008-0000-0300-0000AF000000}"/>
              </a:ext>
            </a:extLst>
          </xdr:cNvPr>
          <xdr:cNvSpPr txBox="1"/>
        </xdr:nvSpPr>
        <xdr:spPr>
          <a:xfrm>
            <a:off x="1037004" y="15059775"/>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McKay</a:t>
            </a:r>
            <a:r>
              <a:rPr lang="pt-pt" sz="1100">
                <a:solidFill>
                  <a:schemeClr val="tx1">
                    <a:lumMod val="75000"/>
                    <a:lumOff val="25000"/>
                  </a:schemeClr>
                </a:solidFill>
                <a:latin typeface="Segoe UI" panose="020B0502040204020203" pitchFamily="34" charset="0"/>
                <a:cs typeface="Segoe UI" panose="020B0502040204020203" pitchFamily="34" charset="0"/>
              </a:rPr>
              <a:t>. Esta é a mesma fórmula do passo 3, mas extrai caracteres da célula F56 em vez de extrair da célula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5075310"/>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77" name="Passo" descr="Faça duplo clique em Silva Andrade na [Coluna de ajuda]. Verá que utilizámos as funções DIREITA, NÚM.CARAT e LOCALIZAR para extrair os carateres a partir do primeiro espaço até ao fim da célula">
            <a:extLst>
              <a:ext uri="{FF2B5EF4-FFF2-40B4-BE49-F238E27FC236}">
                <a16:creationId xmlns:a16="http://schemas.microsoft.com/office/drawing/2014/main" id="{00000000-0008-0000-0300-0000B1000000}"/>
              </a:ext>
            </a:extLst>
          </xdr:cNvPr>
          <xdr:cNvSpPr txBox="1"/>
        </xdr:nvSpPr>
        <xdr:spPr>
          <a:xfrm>
            <a:off x="1037004" y="13760828"/>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Francis McKay</a:t>
            </a:r>
            <a:r>
              <a:rPr lang="pt-pt" sz="1100" b="0">
                <a:solidFill>
                  <a:schemeClr val="tx1">
                    <a:lumMod val="75000"/>
                    <a:lumOff val="25000"/>
                  </a:schemeClr>
                </a:solidFill>
                <a:latin typeface="Segoe UI" panose="020B0502040204020203" pitchFamily="34" charset="0"/>
                <a:cs typeface="Segoe UI" panose="020B0502040204020203" pitchFamily="34" charset="0"/>
              </a:rPr>
              <a:t> na [Coluna de ajuda]</a:t>
            </a:r>
            <a:r>
              <a:rPr lang="pt-pt" sz="1100">
                <a:solidFill>
                  <a:schemeClr val="tx1">
                    <a:lumMod val="75000"/>
                    <a:lumOff val="25000"/>
                  </a:schemeClr>
                </a:solidFill>
                <a:latin typeface="Segoe UI" panose="020B0502040204020203" pitchFamily="34" charset="0"/>
                <a:cs typeface="Segoe UI" panose="020B0502040204020203" pitchFamily="34" charset="0"/>
              </a:rPr>
              <a:t>. Verá que utilizámos as funções DIREITA, NÚM.CARAT e LOCALIZAR para extrair os caracteres desde o primeiro espaço até ao fim da célula.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78603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79" name="Passo" descr="Faça duplo clique em Silva. Aqui utilizámos praticamente a mesma fórmula do passo 1, mas extrai carateres da célula C56 em vez de extrair da célula F56">
            <a:extLst>
              <a:ext uri="{FF2B5EF4-FFF2-40B4-BE49-F238E27FC236}">
                <a16:creationId xmlns:a16="http://schemas.microsoft.com/office/drawing/2014/main" id="{00000000-0008-0000-0300-0000B3000000}"/>
              </a:ext>
            </a:extLst>
          </xdr:cNvPr>
          <xdr:cNvSpPr txBox="1"/>
        </xdr:nvSpPr>
        <xdr:spPr>
          <a:xfrm>
            <a:off x="1037004" y="14441877"/>
            <a:ext cx="4808786" cy="65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Francis</a:t>
            </a:r>
            <a:r>
              <a:rPr lang="pt-pt" sz="1100">
                <a:solidFill>
                  <a:schemeClr val="tx1">
                    <a:lumMod val="75000"/>
                    <a:lumOff val="25000"/>
                  </a:schemeClr>
                </a:solidFill>
                <a:latin typeface="Segoe UI" panose="020B0502040204020203" pitchFamily="34" charset="0"/>
                <a:cs typeface="Segoe UI" panose="020B0502040204020203" pitchFamily="34" charset="0"/>
              </a:rPr>
              <a:t>. Aqui utilizámos praticamente a mesma fórmula do passo 1, mas em vez de extrair os caracteres de C56, extrai da célula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44773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80</xdr:row>
      <xdr:rowOff>19050</xdr:rowOff>
    </xdr:from>
    <xdr:to>
      <xdr:col>1</xdr:col>
      <xdr:colOff>5248275</xdr:colOff>
      <xdr:row>105</xdr:row>
      <xdr:rowOff>9525</xdr:rowOff>
    </xdr:to>
    <xdr:grpSp>
      <xdr:nvGrpSpPr>
        <xdr:cNvPr id="5" name="Mais Informações na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830550"/>
          <a:ext cx="5716905" cy="4752975"/>
          <a:chOff x="400050" y="15944850"/>
          <a:chExt cx="5695950" cy="4619625"/>
        </a:xfrm>
      </xdr:grpSpPr>
      <xdr:sp macro="" textlink="">
        <xdr:nvSpPr>
          <xdr:cNvPr id="198" name="Retângulo 197" descr="Fundo">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9" name="Passo" descr="Mais informações na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Conexão Reta 199" descr="Linha decorativa">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Botão Seguinte" descr="Voltar ao início, com hiperligação para a célula A1">
            <a:hlinkClick xmlns:r="http://schemas.openxmlformats.org/officeDocument/2006/relationships" r:id="rId3" tooltip="Selecione para voltar à célula A1 nesta folha de cálculo"/>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202" name="Conexão Reta 201" descr="Linha decorativa">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Botão Seguinte" descr="Botão Passo seguinte, com hiperligação para a folha seguinte">
            <a:hlinkClick xmlns:r="http://schemas.openxmlformats.org/officeDocument/2006/relationships" r:id="rId4" tooltip="Selecione para ir para o passo seguinte"/>
            <a:extLst>
              <a:ext uri="{FF2B5EF4-FFF2-40B4-BE49-F238E27FC236}">
                <a16:creationId xmlns:a16="http://schemas.microsoft.com/office/drawing/2014/main" id="{00000000-0008-0000-0300-0000CB000000}"/>
              </a:ext>
            </a:extLst>
          </xdr:cNvPr>
          <xdr:cNvSpPr/>
        </xdr:nvSpPr>
        <xdr:spPr>
          <a:xfrm>
            <a:off x="4467225" y="19977858"/>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204" name="Passo" descr="Dividir texto em colunas diferentes, com hiperligação para a Web">
            <a:hlinkClick xmlns:r="http://schemas.openxmlformats.org/officeDocument/2006/relationships" r:id="rId5" tooltip="Selecione para aceder à Web e saber como dividir texto em colunas diferentes"/>
            <a:extLst>
              <a:ext uri="{FF2B5EF4-FFF2-40B4-BE49-F238E27FC236}">
                <a16:creationId xmlns:a16="http://schemas.microsoft.com/office/drawing/2014/main" id="{00000000-0008-0000-0300-0000CC000000}"/>
              </a:ext>
            </a:extLst>
          </xdr:cNvPr>
          <xdr:cNvSpPr txBox="1"/>
        </xdr:nvSpPr>
        <xdr:spPr>
          <a:xfrm>
            <a:off x="1038833" y="16739699"/>
            <a:ext cx="30950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Dividir texto em colunas diferentes</a:t>
            </a:r>
          </a:p>
        </xdr:txBody>
      </xdr:sp>
      <xdr:pic>
        <xdr:nvPicPr>
          <xdr:cNvPr id="205"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Passo" descr="Tudo sobre a funcionalidade Obter e Transformar, com hiperligação para a Web">
            <a:hlinkClick xmlns:r="http://schemas.openxmlformats.org/officeDocument/2006/relationships" r:id="rId8" tooltip="Selecione para aceder à Web e saber tudo sobre a funcionalidade Obter e Transformar"/>
            <a:extLst>
              <a:ext uri="{FF2B5EF4-FFF2-40B4-BE49-F238E27FC236}">
                <a16:creationId xmlns:a16="http://schemas.microsoft.com/office/drawing/2014/main" id="{00000000-0008-0000-0300-0000CE000000}"/>
              </a:ext>
            </a:extLst>
          </xdr:cNvPr>
          <xdr:cNvSpPr txBox="1"/>
        </xdr:nvSpPr>
        <xdr:spPr>
          <a:xfrm>
            <a:off x="1038833" y="17204306"/>
            <a:ext cx="36760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funcionalidade Obter e Transformar </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Passo" descr="Tudo sobre a função ESQUERDA, com hiperligação para a Web">
            <a:hlinkClick xmlns:r="http://schemas.openxmlformats.org/officeDocument/2006/relationships" r:id="rId9" tooltip="Selecione para aceder à Web e saber tudo sobre a função ESQUERDA"/>
            <a:extLst>
              <a:ext uri="{FF2B5EF4-FFF2-40B4-BE49-F238E27FC236}">
                <a16:creationId xmlns:a16="http://schemas.microsoft.com/office/drawing/2014/main" id="{00000000-0008-0000-0300-0000D0000000}"/>
              </a:ext>
            </a:extLst>
          </xdr:cNvPr>
          <xdr:cNvSpPr txBox="1"/>
        </xdr:nvSpPr>
        <xdr:spPr>
          <a:xfrm>
            <a:off x="1038833" y="17671472"/>
            <a:ext cx="31521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ESQUERDA</a:t>
            </a:r>
          </a:p>
        </xdr:txBody>
      </xdr:sp>
      <xdr:pic>
        <xdr:nvPicPr>
          <xdr:cNvPr id="209"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Passo" descr="Tudo sobre a função DIREITA, com hiperligação para a Web">
            <a:hlinkClick xmlns:r="http://schemas.openxmlformats.org/officeDocument/2006/relationships" r:id="rId10" tooltip="Selecione para aceder à Web e saber tudo sobre a função DIREITA"/>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DIREITA</a:t>
            </a:r>
          </a:p>
        </xdr:txBody>
      </xdr:sp>
      <xdr:pic>
        <xdr:nvPicPr>
          <xdr:cNvPr id="212"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Passo" descr="Tudo sobre a função LOCALIZAR, com hiperligação para a Web">
            <a:hlinkClick xmlns:r="http://schemas.openxmlformats.org/officeDocument/2006/relationships" r:id="rId11" tooltip="Selecione para aceder à Web e saber tudo sobre a função LOCALIZAR"/>
            <a:extLst>
              <a:ext uri="{FF2B5EF4-FFF2-40B4-BE49-F238E27FC236}">
                <a16:creationId xmlns:a16="http://schemas.microsoft.com/office/drawing/2014/main" id="{00000000-0008-0000-0300-0000D5000000}"/>
              </a:ext>
            </a:extLst>
          </xdr:cNvPr>
          <xdr:cNvSpPr txBox="1"/>
        </xdr:nvSpPr>
        <xdr:spPr>
          <a:xfrm>
            <a:off x="1038833" y="18594956"/>
            <a:ext cx="32378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LOCALIZAR</a:t>
            </a:r>
          </a:p>
        </xdr:txBody>
      </xdr:sp>
      <xdr:pic>
        <xdr:nvPicPr>
          <xdr:cNvPr id="214"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Passo" descr="Tudo sobre a função NÚM.CARAT, com hiperligação para a Web">
            <a:hlinkClick xmlns:r="http://schemas.openxmlformats.org/officeDocument/2006/relationships" r:id="rId12" tooltip="Selecione para aceder à Web e saber tudo sobre a função NÚM.CARAT"/>
            <a:extLst>
              <a:ext uri="{FF2B5EF4-FFF2-40B4-BE49-F238E27FC236}">
                <a16:creationId xmlns:a16="http://schemas.microsoft.com/office/drawing/2014/main" id="{00000000-0008-0000-0300-0000D7000000}"/>
              </a:ext>
            </a:extLst>
          </xdr:cNvPr>
          <xdr:cNvSpPr txBox="1"/>
        </xdr:nvSpPr>
        <xdr:spPr>
          <a:xfrm>
            <a:off x="1038833" y="19062122"/>
            <a:ext cx="29807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NÚM.CARAT</a:t>
            </a:r>
          </a:p>
        </xdr:txBody>
      </xdr:sp>
      <xdr:pic>
        <xdr:nvPicPr>
          <xdr:cNvPr id="216"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2</xdr:col>
      <xdr:colOff>152400</xdr:colOff>
      <xdr:row>47</xdr:row>
      <xdr:rowOff>171450</xdr:rowOff>
    </xdr:to>
    <xdr:grpSp>
      <xdr:nvGrpSpPr>
        <xdr:cNvPr id="3" name="Dividir uma coluna com base em delimitadore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6315075" cy="4171950"/>
          <a:chOff x="390525" y="5943600"/>
          <a:chExt cx="6134100" cy="4171950"/>
        </a:xfrm>
      </xdr:grpSpPr>
      <xdr:sp macro="" textlink="">
        <xdr:nvSpPr>
          <xdr:cNvPr id="181" name="Retângulo 180" descr="Fundo">
            <a:extLst>
              <a:ext uri="{FF2B5EF4-FFF2-40B4-BE49-F238E27FC236}">
                <a16:creationId xmlns:a16="http://schemas.microsoft.com/office/drawing/2014/main" id="{00000000-0008-0000-0300-0000B5000000}"/>
              </a:ext>
            </a:extLst>
          </xdr:cNvPr>
          <xdr:cNvSpPr/>
        </xdr:nvSpPr>
        <xdr:spPr>
          <a:xfrm>
            <a:off x="390525" y="5943600"/>
            <a:ext cx="5695950" cy="417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so" descr="Dividir uma coluna com base em delimitadores">
            <a:extLst>
              <a:ext uri="{FF2B5EF4-FFF2-40B4-BE49-F238E27FC236}">
                <a16:creationId xmlns:a16="http://schemas.microsoft.com/office/drawing/2014/main" id="{00000000-0008-0000-0300-0000B6000000}"/>
              </a:ext>
            </a:extLst>
          </xdr:cNvPr>
          <xdr:cNvSpPr txBox="1"/>
        </xdr:nvSpPr>
        <xdr:spPr>
          <a:xfrm>
            <a:off x="622273" y="6071822"/>
            <a:ext cx="5902352"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5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Dividir uma coluna com base em delimitadores</a:t>
            </a:r>
            <a:endParaRPr lang="en-US" sz="2200" b="0" spc="-50" baseline="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exão Reta 182" descr="Linha decorativa">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Conexão Reta 183" descr="Linha decorativa">
            <a:extLst>
              <a:ext uri="{FF2B5EF4-FFF2-40B4-BE49-F238E27FC236}">
                <a16:creationId xmlns:a16="http://schemas.microsoft.com/office/drawing/2014/main" id="{00000000-0008-0000-0300-0000B8000000}"/>
              </a:ext>
            </a:extLst>
          </xdr:cNvPr>
          <xdr:cNvCxnSpPr>
            <a:cxnSpLocks/>
          </xdr:cNvCxnSpPr>
        </xdr:nvCxnSpPr>
        <xdr:spPr>
          <a:xfrm>
            <a:off x="625449" y="986999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Passo" descr="A funcionalidade Pré-visualização da Conclusão Automática é muito útil. No entanto, se quiser dividir os dados em mais do que uma coluna ao mesmo tempo, esta não é a melhor ferramenta. Experimente a funcionalidade Texto para Colunas nesta situação:">
            <a:extLst>
              <a:ext uri="{FF2B5EF4-FFF2-40B4-BE49-F238E27FC236}">
                <a16:creationId xmlns:a16="http://schemas.microsoft.com/office/drawing/2014/main" id="{00000000-0008-0000-0300-0000B9000000}"/>
              </a:ext>
            </a:extLst>
          </xdr:cNvPr>
          <xdr:cNvSpPr txBox="1"/>
        </xdr:nvSpPr>
        <xdr:spPr>
          <a:xfrm>
            <a:off x="619125" y="6652844"/>
            <a:ext cx="5267325" cy="69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spc="-20" baseline="0">
                <a:solidFill>
                  <a:schemeClr val="tx1">
                    <a:lumMod val="75000"/>
                    <a:lumOff val="25000"/>
                  </a:schemeClr>
                </a:solidFill>
                <a:latin typeface="Segoe UI" panose="020B0502040204020203" pitchFamily="34" charset="0"/>
                <a:cs typeface="Segoe UI" panose="020B0502040204020203" pitchFamily="34" charset="0"/>
              </a:rPr>
              <a:t>A funcionalidade Pré-visualização da Conclusão Automática é muito útil. No entanto, se quiser dividir os dados em mais do que uma coluna ao mesmo tempo, esta não é a melhor ferramenta. </a:t>
            </a:r>
            <a:r>
              <a:rPr lang="pt-pt" sz="1100" b="0" spc="-20" baseline="0">
                <a:solidFill>
                  <a:schemeClr val="tx1">
                    <a:lumMod val="75000"/>
                    <a:lumOff val="25000"/>
                  </a:schemeClr>
                </a:solidFill>
                <a:latin typeface="Segoe UI" panose="020B0502040204020203" pitchFamily="34" charset="0"/>
                <a:cs typeface="Segoe UI" panose="020B0502040204020203" pitchFamily="34" charset="0"/>
              </a:rPr>
              <a:t>Experimente a funcionalidade </a:t>
            </a:r>
            <a:r>
              <a:rPr lang="pt-pt" sz="1100" b="1" spc="-20" baseline="0">
                <a:solidFill>
                  <a:schemeClr val="tx1">
                    <a:lumMod val="75000"/>
                    <a:lumOff val="25000"/>
                  </a:schemeClr>
                </a:solidFill>
                <a:latin typeface="Segoe UI" panose="020B0502040204020203" pitchFamily="34" charset="0"/>
                <a:cs typeface="Segoe UI" panose="020B0502040204020203" pitchFamily="34" charset="0"/>
              </a:rPr>
              <a:t>Texto para Colunas</a:t>
            </a:r>
            <a:r>
              <a:rPr lang="pt-pt" sz="1100" spc="-20" baseline="0">
                <a:solidFill>
                  <a:schemeClr val="tx1">
                    <a:lumMod val="75000"/>
                    <a:lumOff val="25000"/>
                  </a:schemeClr>
                </a:solidFill>
                <a:latin typeface="Segoe UI" panose="020B0502040204020203" pitchFamily="34" charset="0"/>
                <a:cs typeface="Segoe UI" panose="020B0502040204020203" pitchFamily="34" charset="0"/>
              </a:rPr>
              <a:t> nesta situação:</a:t>
            </a:r>
          </a:p>
        </xdr:txBody>
      </xdr:sp>
      <xdr:sp macro="" textlink="">
        <xdr:nvSpPr>
          <xdr:cNvPr id="186" name="Passo" descr="Clique e arraste para selecionar as células de Margarida até Teresa">
            <a:extLst>
              <a:ext uri="{FF2B5EF4-FFF2-40B4-BE49-F238E27FC236}">
                <a16:creationId xmlns:a16="http://schemas.microsoft.com/office/drawing/2014/main" id="{00000000-0008-0000-0300-0000BA000000}"/>
              </a:ext>
            </a:extLst>
          </xdr:cNvPr>
          <xdr:cNvSpPr txBox="1"/>
        </xdr:nvSpPr>
        <xdr:spPr>
          <a:xfrm>
            <a:off x="1029308" y="7360617"/>
            <a:ext cx="4809516" cy="307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as células de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Margarida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até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31811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88" name="Passo" descr="No separador Dados, clique em Texto para Colunas. Certifique-se de que a opção Delimitado está selecionada e clique em Seguinte">
            <a:extLst>
              <a:ext uri="{FF2B5EF4-FFF2-40B4-BE49-F238E27FC236}">
                <a16:creationId xmlns:a16="http://schemas.microsoft.com/office/drawing/2014/main" id="{00000000-0008-0000-0300-0000BC000000}"/>
              </a:ext>
            </a:extLst>
          </xdr:cNvPr>
          <xdr:cNvSpPr txBox="1"/>
        </xdr:nvSpPr>
        <xdr:spPr>
          <a:xfrm>
            <a:off x="1029307" y="7775707"/>
            <a:ext cx="4809517" cy="491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separador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 para Colunas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Certifique-se de que a opção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Delimitado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está selecionada e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Seguinte</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7903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91" name="Passo" descr="Em Delimitadores, certifique-se de que Vírgula é a única caixa de verificação selecionada e, em seguida, clique em Seguinte">
            <a:extLst>
              <a:ext uri="{FF2B5EF4-FFF2-40B4-BE49-F238E27FC236}">
                <a16:creationId xmlns:a16="http://schemas.microsoft.com/office/drawing/2014/main" id="{00000000-0008-0000-0300-0000BF000000}"/>
              </a:ext>
            </a:extLst>
          </xdr:cNvPr>
          <xdr:cNvSpPr txBox="1"/>
        </xdr:nvSpPr>
        <xdr:spPr>
          <a:xfrm>
            <a:off x="1029307" y="8310606"/>
            <a:ext cx="4809517" cy="461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Delimitadores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certifique-se de que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Vírgula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a única caixa de verificação selecionada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Seguinte</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30620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93" name="Passo" descr="Clique na opção Geral">
            <a:extLst>
              <a:ext uri="{FF2B5EF4-FFF2-40B4-BE49-F238E27FC236}">
                <a16:creationId xmlns:a16="http://schemas.microsoft.com/office/drawing/2014/main" id="{00000000-0008-0000-0300-0000C1000000}"/>
              </a:ext>
            </a:extLst>
          </xdr:cNvPr>
          <xdr:cNvSpPr txBox="1"/>
        </xdr:nvSpPr>
        <xdr:spPr>
          <a:xfrm>
            <a:off x="1029307" y="8842072"/>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opção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Geral</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81862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95" name="Passo" descr="Por fim, clique dentro da caixa Destino e escreva $D$32. Em seguida, clique em Concluir.">
            <a:extLst>
              <a:ext uri="{FF2B5EF4-FFF2-40B4-BE49-F238E27FC236}">
                <a16:creationId xmlns:a16="http://schemas.microsoft.com/office/drawing/2014/main" id="{00000000-0008-0000-0300-0000C3000000}"/>
              </a:ext>
            </a:extLst>
          </xdr:cNvPr>
          <xdr:cNvSpPr txBox="1"/>
        </xdr:nvSpPr>
        <xdr:spPr>
          <a:xfrm>
            <a:off x="1029307" y="92799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 fim, clique dentro da caixa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escreva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Concluir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28511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5</xdr:col>
      <xdr:colOff>962025</xdr:colOff>
      <xdr:row>48</xdr:row>
      <xdr:rowOff>161925</xdr:rowOff>
    </xdr:to>
    <xdr:grpSp>
      <xdr:nvGrpSpPr>
        <xdr:cNvPr id="2" name="PARA EXPLORAR" descr="PARA EXPLORAR: Existe outra forma de trabalhar com dados. Pode consultar uma origem externa e dividir os dados daí provenientes. Só tem de o fazer uma vez e os dados serão sempre atualizados e fáceis de utilizar a partir daí. Ficou curioso? Clique no separador Dados e, em seguida, explore as opções na área Obter e Transformar. Em alternativa, consulte a ligação no final desta folha.">
          <a:extLst>
            <a:ext uri="{FF2B5EF4-FFF2-40B4-BE49-F238E27FC236}">
              <a16:creationId xmlns:a16="http://schemas.microsoft.com/office/drawing/2014/main" id="{00000000-0008-0000-0300-000002000000}"/>
            </a:ext>
          </a:extLst>
        </xdr:cNvPr>
        <xdr:cNvGrpSpPr/>
      </xdr:nvGrpSpPr>
      <xdr:grpSpPr>
        <a:xfrm>
          <a:off x="8658225" y="8172449"/>
          <a:ext cx="3543300" cy="1704976"/>
          <a:chOff x="8477250" y="8591549"/>
          <a:chExt cx="3409950" cy="1504951"/>
        </a:xfrm>
      </xdr:grpSpPr>
      <xdr:pic>
        <xdr:nvPicPr>
          <xdr:cNvPr id="227" name="Gráfico 9" descr="Caminhar">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Passo" descr="A EXPLORAR&#10;Existe outra forma de trabalhar com dados. Pode consultar uma origem externa e dividir os dados daí provenientes. Só tem de o fazer uma vez e os dados serão sempre atualizados e fáceis de utilizar a partir daí. Ficou curioso? Clique no separador Dados e, em seguida, explore as opções na área Obter e Transformar. Em alternativa, consulte a ligação no final desta folha.&#10;">
            <a:extLst>
              <a:ext uri="{FF2B5EF4-FFF2-40B4-BE49-F238E27FC236}">
                <a16:creationId xmlns:a16="http://schemas.microsoft.com/office/drawing/2014/main" id="{00000000-0008-0000-0300-0000E4000000}"/>
              </a:ext>
            </a:extLst>
          </xdr:cNvPr>
          <xdr:cNvSpPr txBox="1"/>
        </xdr:nvSpPr>
        <xdr:spPr>
          <a:xfrm>
            <a:off x="8783628" y="8591549"/>
            <a:ext cx="310357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Existe outra forma de trabalhar com dados. Pode consultar uma origem externa e dividir os dados daí provenientes.</a:t>
            </a:r>
            <a:r>
              <a:rPr lang="pt-pt" sz="1100" kern="0" baseline="0">
                <a:solidFill>
                  <a:schemeClr val="bg2">
                    <a:lumMod val="25000"/>
                  </a:schemeClr>
                </a:solidFill>
                <a:ea typeface="Segoe UI" pitchFamily="34" charset="0"/>
                <a:cs typeface="Segoe UI Light" panose="020B0502040204020203" pitchFamily="34" charset="0"/>
              </a:rPr>
              <a:t> Só tem de o fazer uma vez e os dados serão sempre atualizados e fáceis de utilizar a partir daí. Ficou curioso? Clique no separador </a:t>
            </a:r>
            <a:r>
              <a:rPr lang="pt-pt" sz="1100" b="1" kern="0" baseline="0">
                <a:solidFill>
                  <a:schemeClr val="bg2">
                    <a:lumMod val="25000"/>
                  </a:schemeClr>
                </a:solidFill>
                <a:ea typeface="Segoe UI" pitchFamily="34" charset="0"/>
                <a:cs typeface="Segoe UI Light" panose="020B0502040204020203" pitchFamily="34" charset="0"/>
              </a:rPr>
              <a:t>Dados</a:t>
            </a:r>
            <a:r>
              <a:rPr lang="pt-pt" sz="1100" kern="0" baseline="0">
                <a:solidFill>
                  <a:schemeClr val="bg2">
                    <a:lumMod val="25000"/>
                  </a:schemeClr>
                </a:solidFill>
                <a:ea typeface="Segoe UI" pitchFamily="34" charset="0"/>
                <a:cs typeface="Segoe UI Light" panose="020B0502040204020203" pitchFamily="34" charset="0"/>
              </a:rPr>
              <a:t> e, em seguida, explore as opções na área </a:t>
            </a:r>
            <a:r>
              <a:rPr lang="pt-pt" sz="1100" b="1" kern="0" baseline="0">
                <a:solidFill>
                  <a:schemeClr val="bg2">
                    <a:lumMod val="25000"/>
                  </a:schemeClr>
                </a:solidFill>
                <a:ea typeface="Segoe UI" pitchFamily="34" charset="0"/>
                <a:cs typeface="Segoe UI Light" panose="020B0502040204020203" pitchFamily="34" charset="0"/>
              </a:rPr>
              <a:t>Obter e Transformar</a:t>
            </a:r>
            <a:r>
              <a:rPr lang="pt-pt" sz="1100" kern="0" baseline="0">
                <a:solidFill>
                  <a:schemeClr val="bg2">
                    <a:lumMod val="25000"/>
                  </a:schemeClr>
                </a:solidFill>
                <a:ea typeface="Segoe UI" pitchFamily="34" charset="0"/>
                <a:cs typeface="Segoe UI Light" panose="020B0502040204020203" pitchFamily="34" charset="0"/>
              </a:rPr>
              <a:t>. Em alternativa, consulte a ligação no final desta folha.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304800</xdr:colOff>
      <xdr:row>0</xdr:row>
      <xdr:rowOff>228600</xdr:rowOff>
    </xdr:from>
    <xdr:to>
      <xdr:col>1</xdr:col>
      <xdr:colOff>5153025</xdr:colOff>
      <xdr:row>24</xdr:row>
      <xdr:rowOff>57150</xdr:rowOff>
    </xdr:to>
    <xdr:grpSp>
      <xdr:nvGrpSpPr>
        <xdr:cNvPr id="13" name="Grupo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04800" y="228600"/>
          <a:ext cx="5716905" cy="4972050"/>
          <a:chOff x="304800" y="228600"/>
          <a:chExt cx="5695950" cy="4972050"/>
        </a:xfrm>
      </xdr:grpSpPr>
      <xdr:grpSp>
        <xdr:nvGrpSpPr>
          <xdr:cNvPr id="10" name="Grupo 9">
            <a:extLst>
              <a:ext uri="{FF2B5EF4-FFF2-40B4-BE49-F238E27FC236}">
                <a16:creationId xmlns:a16="http://schemas.microsoft.com/office/drawing/2014/main" id="{F13F9B2E-C4F3-4E13-8DDF-A418488030B5}"/>
              </a:ext>
            </a:extLst>
          </xdr:cNvPr>
          <xdr:cNvGrpSpPr/>
        </xdr:nvGrpSpPr>
        <xdr:grpSpPr>
          <a:xfrm>
            <a:off x="304800" y="228600"/>
            <a:ext cx="5695950" cy="4972050"/>
            <a:chOff x="304800" y="228600"/>
            <a:chExt cx="5695950" cy="4972050"/>
          </a:xfrm>
        </xdr:grpSpPr>
        <xdr:sp macro="" textlink="">
          <xdr:nvSpPr>
            <xdr:cNvPr id="73" name="Retângulo 72" descr="Fundo">
              <a:extLst>
                <a:ext uri="{FF2B5EF4-FFF2-40B4-BE49-F238E27FC236}">
                  <a16:creationId xmlns:a16="http://schemas.microsoft.com/office/drawing/2014/main" id="{00000000-0008-0000-0300-000049000000}"/>
                </a:ext>
              </a:extLst>
            </xdr:cNvPr>
            <xdr:cNvSpPr/>
          </xdr:nvSpPr>
          <xdr:spPr>
            <a:xfrm>
              <a:off x="304800" y="228600"/>
              <a:ext cx="5695950" cy="4972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Passo" descr="Tem demasiados dados numa só coluna? Divida-os.">
              <a:extLst>
                <a:ext uri="{FF2B5EF4-FFF2-40B4-BE49-F238E27FC236}">
                  <a16:creationId xmlns:a16="http://schemas.microsoft.com/office/drawing/2014/main" id="{00000000-0008-0000-0300-00004A000000}"/>
                </a:ext>
              </a:extLst>
            </xdr:cNvPr>
            <xdr:cNvSpPr txBox="1"/>
          </xdr:nvSpPr>
          <xdr:spPr>
            <a:xfrm>
              <a:off x="555599" y="375873"/>
              <a:ext cx="5349902"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Tem demasiados dados numa só coluna? Divida-os.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Conexão Reta 74" descr="Linha decorativa">
              <a:extLst>
                <a:ext uri="{FF2B5EF4-FFF2-40B4-BE49-F238E27FC236}">
                  <a16:creationId xmlns:a16="http://schemas.microsoft.com/office/drawing/2014/main" id="{00000000-0008-0000-0300-00004B000000}"/>
                </a:ext>
              </a:extLst>
            </xdr:cNvPr>
            <xdr:cNvCxnSpPr>
              <a:cxnSpLocks/>
            </xdr:cNvCxnSpPr>
          </xdr:nvCxnSpPr>
          <xdr:spPr>
            <a:xfrm>
              <a:off x="558774" y="12547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Botão Seguinte" descr="Desça para ver mais detalhes">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480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77" name="Conexão Reta 76" descr="Linha decorativa">
              <a:extLst>
                <a:ext uri="{FF2B5EF4-FFF2-40B4-BE49-F238E27FC236}">
                  <a16:creationId xmlns:a16="http://schemas.microsoft.com/office/drawing/2014/main" id="{00000000-0008-0000-0300-00004D000000}"/>
                </a:ext>
              </a:extLst>
            </xdr:cNvPr>
            <xdr:cNvCxnSpPr>
              <a:cxnSpLocks/>
            </xdr:cNvCxnSpPr>
          </xdr:nvCxnSpPr>
          <xdr:spPr>
            <a:xfrm>
              <a:off x="558774" y="4289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Seguinte" descr="Botão Passo seguinte, com hiperligação para a folha seguinte">
              <a:hlinkClick xmlns:r="http://schemas.openxmlformats.org/officeDocument/2006/relationships" r:id="rId4" tooltip="Selecione para ir para o passo seguinte"/>
              <a:extLst>
                <a:ext uri="{FF2B5EF4-FFF2-40B4-BE49-F238E27FC236}">
                  <a16:creationId xmlns:a16="http://schemas.microsoft.com/office/drawing/2014/main" id="{00000000-0008-0000-0300-00004E000000}"/>
                </a:ext>
              </a:extLst>
            </xdr:cNvPr>
            <xdr:cNvSpPr/>
          </xdr:nvSpPr>
          <xdr:spPr>
            <a:xfrm>
              <a:off x="4400550" y="448068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79" name="Passo" descr="Nas células abaixo de Nome próprio, escreva os nomes que estão na coluna E-mail: Margarida, Samuel e os restantes.">
              <a:extLst>
                <a:ext uri="{FF2B5EF4-FFF2-40B4-BE49-F238E27FC236}">
                  <a16:creationId xmlns:a16="http://schemas.microsoft.com/office/drawing/2014/main" id="{00000000-0008-0000-0300-00004F000000}"/>
                </a:ext>
              </a:extLst>
            </xdr:cNvPr>
            <xdr:cNvSpPr txBox="1"/>
          </xdr:nvSpPr>
          <xdr:spPr>
            <a:xfrm>
              <a:off x="962633" y="1397148"/>
              <a:ext cx="4809516" cy="47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Nas células abaixo 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 próprio</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escreva os nomes que estão na coluna E-mail: </a:t>
              </a:r>
              <a:r>
                <a:rPr lang="pt-pt"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Margarida</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Samuel</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os restantes.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402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81" name="Passo" descr="Quando vir a lista desvanecida de sugestões, prima Enter imediatamente">
              <a:extLst>
                <a:ext uri="{FF2B5EF4-FFF2-40B4-BE49-F238E27FC236}">
                  <a16:creationId xmlns:a16="http://schemas.microsoft.com/office/drawing/2014/main" id="{00000000-0008-0000-0300-000051000000}"/>
                </a:ext>
              </a:extLst>
            </xdr:cNvPr>
            <xdr:cNvSpPr txBox="1"/>
          </xdr:nvSpPr>
          <xdr:spPr>
            <a:xfrm>
              <a:off x="962632" y="1901500"/>
              <a:ext cx="4809517" cy="27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vir a lista desvanecida de sugestões, prima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imediatamente.</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89710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83" name="Passo" descr="Também pode utilizar a Pré-visualização da Conclusão Automática de outra forma: Clique na célula com Gouveia">
              <a:extLst>
                <a:ext uri="{FF2B5EF4-FFF2-40B4-BE49-F238E27FC236}">
                  <a16:creationId xmlns:a16="http://schemas.microsoft.com/office/drawing/2014/main" id="{00000000-0008-0000-0300-000053000000}"/>
                </a:ext>
              </a:extLst>
            </xdr:cNvPr>
            <xdr:cNvSpPr txBox="1"/>
          </xdr:nvSpPr>
          <xdr:spPr>
            <a:xfrm>
              <a:off x="962633" y="3255828"/>
              <a:ext cx="4809516" cy="525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Também pode utilizar 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Pré-visualização da Conclusão Automática de outra forma: Clique na célula com Gouveia.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325143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86" name="Passo" descr="Esta lista de sugestões chama-se Pré-visualização da Conclusão Automática. A Pré-visualização da Conclusão Automática deteta quando escreve um padrão consistente e fornece sugestões com as quais pode preencher as células. Quando vir a lista desvanecida, é altura de premir Enter.">
              <a:extLst>
                <a:ext uri="{FF2B5EF4-FFF2-40B4-BE49-F238E27FC236}">
                  <a16:creationId xmlns:a16="http://schemas.microsoft.com/office/drawing/2014/main" id="{00000000-0008-0000-0300-000056000000}"/>
                </a:ext>
              </a:extLst>
            </xdr:cNvPr>
            <xdr:cNvSpPr txBox="1"/>
          </xdr:nvSpPr>
          <xdr:spPr>
            <a:xfrm>
              <a:off x="1808446" y="2162347"/>
              <a:ext cx="4020853" cy="1066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Esta lista de sugestões chama-se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Pré-visualização da Conclusão Automática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Pré-visualização da Conclusão Automática deteta quando escreve um padrão consistente e fornece sugestões com as quais pode preencher as células. Quando vir a lista desvanecida, é altura de premir Enter.</a:t>
              </a:r>
            </a:p>
          </xdr:txBody>
        </xdr:sp>
        <xdr:sp macro="" textlink="">
          <xdr:nvSpPr>
            <xdr:cNvPr id="87" name="Passo" descr="Clique em Base&gt; Preenchimento &gt; Pré-visualização da Conclusão Automática. Agora os apelidos estão numa coluna separada">
              <a:extLst>
                <a:ext uri="{FF2B5EF4-FFF2-40B4-BE49-F238E27FC236}">
                  <a16:creationId xmlns:a16="http://schemas.microsoft.com/office/drawing/2014/main" id="{00000000-0008-0000-0300-000057000000}"/>
                </a:ext>
              </a:extLst>
            </xdr:cNvPr>
            <xdr:cNvSpPr txBox="1"/>
          </xdr:nvSpPr>
          <xdr:spPr>
            <a:xfrm>
              <a:off x="962633" y="374804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Base</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Preenchimento</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Pré-visualização da Conclusão Automática</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os apelidos estão numa coluna separada.</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75317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pic>
        <xdr:nvPicPr>
          <xdr:cNvPr id="12" name="Imagem 11" descr="Pré-visualização da Conclusão Automática">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rcRect/>
          <a:stretch/>
        </xdr:blipFill>
        <xdr:spPr>
          <a:xfrm>
            <a:off x="1057276" y="2209799"/>
            <a:ext cx="806532" cy="91743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Alterar dados ao transpô-los"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16905" cy="4619625"/>
          <a:chOff x="323850" y="266700"/>
          <a:chExt cx="5695950" cy="4619625"/>
        </a:xfrm>
      </xdr:grpSpPr>
      <xdr:sp macro="" textlink="">
        <xdr:nvSpPr>
          <xdr:cNvPr id="73" name="Retângulo 72" descr="Fundo">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Passo" descr="Alterar dados ao transpô-los">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Alterar dados ao transpô-los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Conexão Reta 74" descr="Linha decorativa">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Botão Seguinte" descr="Desça para ver mais detalhes">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77" name="Conexão Reta 76" descr="Linha decorativa">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400-00004E000000}"/>
              </a:ext>
            </a:extLst>
          </xdr:cNvPr>
          <xdr:cNvSpPr/>
        </xdr:nvSpPr>
        <xdr:spPr>
          <a:xfrm>
            <a:off x="4400550" y="4109207"/>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79" name="Passo" descr="Quando for necessário rodar colunas e linhas, transponha-as no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Quando for necessário rodar colunas e linhas, </a:t>
            </a:r>
            <a:r>
              <a:rPr lang="pt-pt"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transponha-as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 Excel.</a:t>
            </a:r>
          </a:p>
        </xdr:txBody>
      </xdr:sp>
      <xdr:sp macro="" textlink="">
        <xdr:nvSpPr>
          <xdr:cNvPr id="80" name="Passo" descr="Clique e arraste para selecionar as duas linhas de células de Item para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 arraste para selecionar as duas linhas de células 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20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82" name="Passo" descr="Agora copie as células. Prima Ctrl e C">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copie as células. Prima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95" name="Retângulo: cantos Arredondados 94" descr="Tecla Ctrl">
            <a:extLst>
              <a:ext uri="{FF2B5EF4-FFF2-40B4-BE49-F238E27FC236}">
                <a16:creationId xmlns:a16="http://schemas.microsoft.com/office/drawing/2014/main" id="{00000000-0008-0000-0400-00005F000000}"/>
              </a:ext>
            </a:extLst>
          </xdr:cNvPr>
          <xdr:cNvSpPr/>
        </xdr:nvSpPr>
        <xdr:spPr>
          <a:xfrm>
            <a:off x="28909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tângulo: cantos Arredondados 95" descr="Tecla C">
            <a:extLst>
              <a:ext uri="{FF2B5EF4-FFF2-40B4-BE49-F238E27FC236}">
                <a16:creationId xmlns:a16="http://schemas.microsoft.com/office/drawing/2014/main" id="{00000000-0008-0000-0400-000060000000}"/>
              </a:ext>
            </a:extLst>
          </xdr:cNvPr>
          <xdr:cNvSpPr/>
        </xdr:nvSpPr>
        <xdr:spPr>
          <a:xfrm>
            <a:off x="3410017"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C</a:t>
            </a:r>
          </a:p>
        </xdr:txBody>
      </xdr:sp>
      <xdr:sp macro="" textlink="">
        <xdr:nvSpPr>
          <xdr:cNvPr id="85" name="Passo" descr="Clique na célula amarela">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amarela.</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87" name="Passo" descr="No separador Base, clique na seta abaixo do botão Colar">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 separador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clique na seta abaixo do botão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Colar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90" name="Passo" descr="Clique em Colar Especial e, em seguida, na parte inferior, clique na caixa de verificação Transpor. Clique em OK.">
            <a:extLst>
              <a:ext uri="{FF2B5EF4-FFF2-40B4-BE49-F238E27FC236}">
                <a16:creationId xmlns:a16="http://schemas.microsoft.com/office/drawing/2014/main" id="{00000000-0008-0000-0400-00005A000000}"/>
              </a:ext>
            </a:extLst>
          </xdr:cNvPr>
          <xdr:cNvSpPr txBox="1"/>
        </xdr:nvSpPr>
        <xdr:spPr>
          <a:xfrm>
            <a:off x="962633" y="3196579"/>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Colar Especial</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em seguida, na parte inferior, clique na caixa de verificação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Clique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9523</xdr:colOff>
      <xdr:row>29</xdr:row>
      <xdr:rowOff>9525</xdr:rowOff>
    </xdr:from>
    <xdr:to>
      <xdr:col>10</xdr:col>
      <xdr:colOff>349120</xdr:colOff>
      <xdr:row>34</xdr:row>
      <xdr:rowOff>7321</xdr:rowOff>
    </xdr:to>
    <xdr:grpSp>
      <xdr:nvGrpSpPr>
        <xdr:cNvPr id="10" name="Transpor dados" descr="This data has 6 columns...&#10;...and 2 rows&#10;">
          <a:extLst>
            <a:ext uri="{FF2B5EF4-FFF2-40B4-BE49-F238E27FC236}">
              <a16:creationId xmlns:a16="http://schemas.microsoft.com/office/drawing/2014/main" id="{00000000-0008-0000-0400-00000A000000}"/>
            </a:ext>
          </a:extLst>
        </xdr:cNvPr>
        <xdr:cNvGrpSpPr/>
      </xdr:nvGrpSpPr>
      <xdr:grpSpPr>
        <a:xfrm>
          <a:off x="6562723" y="6105525"/>
          <a:ext cx="5414517" cy="950296"/>
          <a:chOff x="6381749" y="6524625"/>
          <a:chExt cx="5027471" cy="950296"/>
        </a:xfrm>
      </xdr:grpSpPr>
      <xdr:sp macro="" textlink="">
        <xdr:nvSpPr>
          <xdr:cNvPr id="97" name="Passo" descr="...e 2 linhas">
            <a:extLst>
              <a:ext uri="{FF2B5EF4-FFF2-40B4-BE49-F238E27FC236}">
                <a16:creationId xmlns:a16="http://schemas.microsoft.com/office/drawing/2014/main" id="{00000000-0008-0000-0400-000061000000}"/>
              </a:ext>
            </a:extLst>
          </xdr:cNvPr>
          <xdr:cNvSpPr txBox="1"/>
        </xdr:nvSpPr>
        <xdr:spPr>
          <a:xfrm>
            <a:off x="10185208"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2 linhas.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98" name="Passo" descr="Estes dados têm 6 colunas...">
            <a:extLst>
              <a:ext uri="{FF2B5EF4-FFF2-40B4-BE49-F238E27FC236}">
                <a16:creationId xmlns:a16="http://schemas.microsoft.com/office/drawing/2014/main" id="{00000000-0008-0000-0400-000062000000}"/>
              </a:ext>
            </a:extLst>
          </xdr:cNvPr>
          <xdr:cNvSpPr txBox="1"/>
        </xdr:nvSpPr>
        <xdr:spPr>
          <a:xfrm>
            <a:off x="7234677"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Estes dados têm 6 colunas...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00" name="Forma livre: Forma 99" descr="Linha de chavetas">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1" name="Forma livre: forma 100" descr="Linha de chavetas">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2" name="Arco 101" descr="Linha de chavetas">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3" name="Arco 102" descr="Linha de chavetas">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0" name="Forma livre: forma 109" descr="Linha de chavetas">
            <a:extLst>
              <a:ext uri="{FF2B5EF4-FFF2-40B4-BE49-F238E27FC236}">
                <a16:creationId xmlns:a16="http://schemas.microsoft.com/office/drawing/2014/main" id="{00000000-0008-0000-0400-00006E000000}"/>
              </a:ext>
            </a:extLst>
          </xdr:cNvPr>
          <xdr:cNvSpPr/>
        </xdr:nvSpPr>
        <xdr:spPr>
          <a:xfrm rot="556052">
            <a:off x="10012651"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Forma livre: forma 110" descr="Linha de chavetas">
            <a:extLst>
              <a:ext uri="{FF2B5EF4-FFF2-40B4-BE49-F238E27FC236}">
                <a16:creationId xmlns:a16="http://schemas.microsoft.com/office/drawing/2014/main" id="{00000000-0008-0000-0400-00006F000000}"/>
              </a:ext>
            </a:extLst>
          </xdr:cNvPr>
          <xdr:cNvSpPr/>
        </xdr:nvSpPr>
        <xdr:spPr>
          <a:xfrm rot="556052">
            <a:off x="10076507"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123832</xdr:rowOff>
    </xdr:from>
    <xdr:to>
      <xdr:col>6</xdr:col>
      <xdr:colOff>398834</xdr:colOff>
      <xdr:row>45</xdr:row>
      <xdr:rowOff>9722</xdr:rowOff>
    </xdr:to>
    <xdr:grpSp>
      <xdr:nvGrpSpPr>
        <xdr:cNvPr id="9" name="Transpor seleção de dados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07454" y="7362832"/>
          <a:ext cx="3281100" cy="1790890"/>
          <a:chOff x="6286500" y="7781925"/>
          <a:chExt cx="3046036" cy="1790587"/>
        </a:xfrm>
      </xdr:grpSpPr>
      <xdr:sp macro="" textlink="">
        <xdr:nvSpPr>
          <xdr:cNvPr id="121" name="Passo" descr="Por isso, selecione estas 2 colunas...">
            <a:extLst>
              <a:ext uri="{FF2B5EF4-FFF2-40B4-BE49-F238E27FC236}">
                <a16:creationId xmlns:a16="http://schemas.microsoft.com/office/drawing/2014/main" id="{00000000-0008-0000-0400-000079000000}"/>
              </a:ext>
            </a:extLst>
          </xdr:cNvPr>
          <xdr:cNvSpPr txBox="1"/>
        </xdr:nvSpPr>
        <xdr:spPr>
          <a:xfrm>
            <a:off x="6286500" y="7781925"/>
            <a:ext cx="255651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Por isso, selecione estas 2 colunas...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23" name="Forma livre: forma 122" descr="Linha de chavetas">
            <a:extLst>
              <a:ext uri="{FF2B5EF4-FFF2-40B4-BE49-F238E27FC236}">
                <a16:creationId xmlns:a16="http://schemas.microsoft.com/office/drawing/2014/main" id="{00000000-0008-0000-0400-00007B000000}"/>
              </a:ext>
            </a:extLst>
          </xdr:cNvPr>
          <xdr:cNvSpPr/>
        </xdr:nvSpPr>
        <xdr:spPr>
          <a:xfrm rot="16200000">
            <a:off x="6580846" y="7932371"/>
            <a:ext cx="181608" cy="63792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4" name="Forma livre: forma 123" descr="Linha de chavetas">
            <a:extLst>
              <a:ext uri="{FF2B5EF4-FFF2-40B4-BE49-F238E27FC236}">
                <a16:creationId xmlns:a16="http://schemas.microsoft.com/office/drawing/2014/main" id="{00000000-0008-0000-0400-00007C000000}"/>
              </a:ext>
            </a:extLst>
          </xdr:cNvPr>
          <xdr:cNvSpPr/>
        </xdr:nvSpPr>
        <xdr:spPr>
          <a:xfrm rot="5400000" flipH="1">
            <a:off x="7332003" y="7932751"/>
            <a:ext cx="183793" cy="63792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5" name="Arco 124" descr="Linha de chavetas">
            <a:extLst>
              <a:ext uri="{FF2B5EF4-FFF2-40B4-BE49-F238E27FC236}">
                <a16:creationId xmlns:a16="http://schemas.microsoft.com/office/drawing/2014/main" id="{00000000-0008-0000-0400-00007D000000}"/>
              </a:ext>
            </a:extLst>
          </xdr:cNvPr>
          <xdr:cNvSpPr/>
        </xdr:nvSpPr>
        <xdr:spPr>
          <a:xfrm rot="10800000">
            <a:off x="7062101"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6" name="Arco 125" descr="Linha de chavetas">
            <a:extLst>
              <a:ext uri="{FF2B5EF4-FFF2-40B4-BE49-F238E27FC236}">
                <a16:creationId xmlns:a16="http://schemas.microsoft.com/office/drawing/2014/main" id="{00000000-0008-0000-0400-00007E000000}"/>
              </a:ext>
            </a:extLst>
          </xdr:cNvPr>
          <xdr:cNvSpPr/>
        </xdr:nvSpPr>
        <xdr:spPr>
          <a:xfrm rot="10800000" flipH="1">
            <a:off x="6875022"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7" name="Passo" descr="...e estas 6 linhas antes de escrever a fórmula">
            <a:extLst>
              <a:ext uri="{FF2B5EF4-FFF2-40B4-BE49-F238E27FC236}">
                <a16:creationId xmlns:a16="http://schemas.microsoft.com/office/drawing/2014/main" id="{00000000-0008-0000-0400-00007F000000}"/>
              </a:ext>
            </a:extLst>
          </xdr:cNvPr>
          <xdr:cNvSpPr txBox="1"/>
        </xdr:nvSpPr>
        <xdr:spPr>
          <a:xfrm>
            <a:off x="8108524" y="8692148"/>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estas 6 linhas </a:t>
            </a:r>
            <a:r>
              <a:rPr lang="pt-pt" sz="1100" b="0" i="1"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antes</a:t>
            </a: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 de escrever a fórmula.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32" name="Forma Livre: Forma 131" descr="Linha de chavetas">
            <a:extLst>
              <a:ext uri="{FF2B5EF4-FFF2-40B4-BE49-F238E27FC236}">
                <a16:creationId xmlns:a16="http://schemas.microsoft.com/office/drawing/2014/main" id="{00000000-0008-0000-0400-000084000000}"/>
              </a:ext>
            </a:extLst>
          </xdr:cNvPr>
          <xdr:cNvSpPr/>
        </xdr:nvSpPr>
        <xdr:spPr>
          <a:xfrm>
            <a:off x="7809541" y="8439102"/>
            <a:ext cx="181608" cy="51810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Forma livre: forma 132" descr="Linha de chavetas">
            <a:extLst>
              <a:ext uri="{FF2B5EF4-FFF2-40B4-BE49-F238E27FC236}">
                <a16:creationId xmlns:a16="http://schemas.microsoft.com/office/drawing/2014/main" id="{00000000-0008-0000-0400-000085000000}"/>
              </a:ext>
            </a:extLst>
          </xdr:cNvPr>
          <xdr:cNvSpPr/>
        </xdr:nvSpPr>
        <xdr:spPr>
          <a:xfrm rot="10800000" flipH="1">
            <a:off x="7808068" y="9072105"/>
            <a:ext cx="183793" cy="50040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Arco 133" descr="Linha de chavetas">
            <a:extLst>
              <a:ext uri="{FF2B5EF4-FFF2-40B4-BE49-F238E27FC236}">
                <a16:creationId xmlns:a16="http://schemas.microsoft.com/office/drawing/2014/main" id="{00000000-0008-0000-0400-000086000000}"/>
              </a:ext>
            </a:extLst>
          </xdr:cNvPr>
          <xdr:cNvSpPr/>
        </xdr:nvSpPr>
        <xdr:spPr>
          <a:xfrm rot="16200000">
            <a:off x="8002219" y="8991504"/>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5" name="Arco 134" descr="Linha de chavetas">
            <a:extLst>
              <a:ext uri="{FF2B5EF4-FFF2-40B4-BE49-F238E27FC236}">
                <a16:creationId xmlns:a16="http://schemas.microsoft.com/office/drawing/2014/main" id="{00000000-0008-0000-0400-000087000000}"/>
              </a:ext>
            </a:extLst>
          </xdr:cNvPr>
          <xdr:cNvSpPr/>
        </xdr:nvSpPr>
        <xdr:spPr>
          <a:xfrm rot="16200000" flipH="1">
            <a:off x="8000016" y="8808708"/>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54</xdr:row>
      <xdr:rowOff>114300</xdr:rowOff>
    </xdr:to>
    <xdr:grpSp>
      <xdr:nvGrpSpPr>
        <xdr:cNvPr id="8" name="Transpor com uma fó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16905" cy="5448300"/>
          <a:chOff x="390525" y="5943600"/>
          <a:chExt cx="5695950" cy="5510924"/>
        </a:xfrm>
      </xdr:grpSpPr>
      <xdr:sp macro="" textlink="">
        <xdr:nvSpPr>
          <xdr:cNvPr id="141" name="Retângulo 140" descr="Fundo">
            <a:extLst>
              <a:ext uri="{FF2B5EF4-FFF2-40B4-BE49-F238E27FC236}">
                <a16:creationId xmlns:a16="http://schemas.microsoft.com/office/drawing/2014/main" id="{00000000-0008-0000-0400-00008D000000}"/>
              </a:ext>
            </a:extLst>
          </xdr:cNvPr>
          <xdr:cNvSpPr/>
        </xdr:nvSpPr>
        <xdr:spPr>
          <a:xfrm>
            <a:off x="390525" y="5943600"/>
            <a:ext cx="5695950" cy="55109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Passo" descr="Transpor com uma fó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Transpor com uma fórmula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Conexão Reta 143" descr="Linha decorativa">
            <a:extLst>
              <a:ext uri="{FF2B5EF4-FFF2-40B4-BE49-F238E27FC236}">
                <a16:creationId xmlns:a16="http://schemas.microsoft.com/office/drawing/2014/main" id="{00000000-0008-0000-0400-000090000000}"/>
              </a:ext>
            </a:extLst>
          </xdr:cNvPr>
          <xdr:cNvCxnSpPr>
            <a:cxnSpLocks/>
          </xdr:cNvCxnSpPr>
        </xdr:nvCxnSpPr>
        <xdr:spPr>
          <a:xfrm>
            <a:off x="625449" y="1117679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Passo" descr="Por vezes, não quer copiar e colar para transpor. Neste caso, pode utilizar uma fórmula para transpor linhas e colunas. Eis como fazê-lo:">
            <a:extLst>
              <a:ext uri="{FF2B5EF4-FFF2-40B4-BE49-F238E27FC236}">
                <a16:creationId xmlns:a16="http://schemas.microsoft.com/office/drawing/2014/main" id="{00000000-0008-0000-0400-000091000000}"/>
              </a:ext>
            </a:extLst>
          </xdr:cNvPr>
          <xdr:cNvSpPr txBox="1"/>
        </xdr:nvSpPr>
        <xdr:spPr>
          <a:xfrm>
            <a:off x="619125" y="6652846"/>
            <a:ext cx="5300938" cy="514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 vezes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não quer copiar e colar para transpor. Neste caso,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pode utilizar uma fórmula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transpor linhas e colunas. Eis como fazê-lo: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Passo" descr="Para transpor estes dados, tem de selecionar primeiro algumas células em branco. Uma vez que os dados à direita têm 6 colunas e 2 linhas, tem de selecionar o oposto: 2 colunas e 6 linhas. Faça-o ao selecionar as células amarelas">
            <a:extLst>
              <a:ext uri="{FF2B5EF4-FFF2-40B4-BE49-F238E27FC236}">
                <a16:creationId xmlns:a16="http://schemas.microsoft.com/office/drawing/2014/main" id="{00000000-0008-0000-0400-000092000000}"/>
              </a:ext>
            </a:extLst>
          </xdr:cNvPr>
          <xdr:cNvSpPr txBox="1"/>
        </xdr:nvSpPr>
        <xdr:spPr>
          <a:xfrm>
            <a:off x="1029308" y="7176814"/>
            <a:ext cx="4876192" cy="81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spc="0" baseline="0">
                <a:solidFill>
                  <a:schemeClr val="tx1">
                    <a:lumMod val="75000"/>
                    <a:lumOff val="25000"/>
                  </a:schemeClr>
                </a:solidFill>
                <a:latin typeface="Segoe UI" panose="020B0502040204020203" pitchFamily="34" charset="0"/>
                <a:cs typeface="Segoe UI" panose="020B0502040204020203" pitchFamily="34" charset="0"/>
              </a:rPr>
              <a:t>Para transpor estes dados, tem de selecionar primeiro algumas células em branco. Uma vez que os dados à direita têm 6 colunas e 2 linhas, tem de selecionar o oposto: 2 colunas e 6 linhas. Faça-o ao selecionar as células amarelas.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18814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48" name="Passo"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8004927"/>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Este processo é mais complicado, por isso preste atenção. Com essas células </a:t>
            </a:r>
            <a:r>
              <a:rPr lang="pt-pt" sz="1100" i="1">
                <a:solidFill>
                  <a:schemeClr val="tx1">
                    <a:lumMod val="75000"/>
                    <a:lumOff val="25000"/>
                  </a:schemeClr>
                </a:solidFill>
                <a:latin typeface="Segoe UI" panose="020B0502040204020203" pitchFamily="34" charset="0"/>
                <a:cs typeface="Segoe UI" panose="020B0502040204020203" pitchFamily="34" charset="0"/>
              </a:rPr>
              <a:t>ainda selecionadas</a:t>
            </a:r>
            <a:r>
              <a:rPr lang="pt-pt" sz="1100">
                <a:solidFill>
                  <a:schemeClr val="tx1">
                    <a:lumMod val="75000"/>
                    <a:lumOff val="25000"/>
                  </a:schemeClr>
                </a:solidFill>
                <a:latin typeface="Segoe UI" panose="020B0502040204020203" pitchFamily="34" charset="0"/>
                <a:cs typeface="Segoe UI" panose="020B0502040204020203" pitchFamily="34" charset="0"/>
              </a:rPr>
              <a:t>, escreva o seguinte: </a:t>
            </a:r>
            <a:r>
              <a:rPr lang="pt-pt" sz="1100" b="1">
                <a:solidFill>
                  <a:schemeClr val="tx1">
                    <a:lumMod val="75000"/>
                    <a:lumOff val="25000"/>
                  </a:schemeClr>
                </a:solidFill>
                <a:latin typeface="Segoe UI" panose="020B0502040204020203" pitchFamily="34" charset="0"/>
                <a:cs typeface="Segoe UI" panose="020B0502040204020203" pitchFamily="34" charset="0"/>
              </a:rPr>
              <a:t>=TRANSPOR(C33:H34) </a:t>
            </a:r>
            <a:r>
              <a:rPr lang="pt-pt" sz="1100" i="1">
                <a:solidFill>
                  <a:schemeClr val="tx1">
                    <a:lumMod val="75000"/>
                    <a:lumOff val="25000"/>
                  </a:schemeClr>
                </a:solidFill>
                <a:latin typeface="Segoe UI" panose="020B0502040204020203" pitchFamily="34" charset="0"/>
                <a:cs typeface="Segoe UI" panose="020B0502040204020203" pitchFamily="34" charset="0"/>
              </a:rPr>
              <a:t>…mas não prima Enter</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8029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50" name="Passo" descr="Clique noutra célula amarela. Observe a barra de fórmulas novamente. A fórmula é a mesma. Porquê? Porque se trata de uma fórmula de matriz.">
            <a:extLst>
              <a:ext uri="{FF2B5EF4-FFF2-40B4-BE49-F238E27FC236}">
                <a16:creationId xmlns:a16="http://schemas.microsoft.com/office/drawing/2014/main" id="{00000000-0008-0000-0400-000096000000}"/>
              </a:ext>
            </a:extLst>
          </xdr:cNvPr>
          <xdr:cNvSpPr txBox="1"/>
        </xdr:nvSpPr>
        <xdr:spPr>
          <a:xfrm>
            <a:off x="1029307" y="10597100"/>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noutra célula amarela. Observe</a:t>
            </a:r>
            <a:r>
              <a:rPr lang="pt-pt" sz="1100" baseline="0">
                <a:solidFill>
                  <a:schemeClr val="tx1">
                    <a:lumMod val="75000"/>
                    <a:lumOff val="25000"/>
                  </a:schemeClr>
                </a:solidFill>
                <a:latin typeface="Segoe UI" panose="020B0502040204020203" pitchFamily="34" charset="0"/>
                <a:cs typeface="Segoe UI" panose="020B0502040204020203" pitchFamily="34" charset="0"/>
              </a:rPr>
              <a:t> a barra de fórmulas novamente. </a:t>
            </a:r>
            <a:r>
              <a:rPr lang="pt-pt" sz="1100">
                <a:solidFill>
                  <a:schemeClr val="tx1">
                    <a:lumMod val="75000"/>
                    <a:lumOff val="25000"/>
                  </a:schemeClr>
                </a:solidFill>
                <a:latin typeface="Segoe UI" panose="020B0502040204020203" pitchFamily="34" charset="0"/>
                <a:cs typeface="Segoe UI" panose="020B0502040204020203" pitchFamily="34" charset="0"/>
              </a:rPr>
              <a:t>A fórmula é a mesma. Porquê? Porque se trata de uma </a:t>
            </a:r>
            <a:r>
              <a:rPr lang="pt-pt" sz="1100" b="1">
                <a:solidFill>
                  <a:schemeClr val="tx1">
                    <a:lumMod val="75000"/>
                    <a:lumOff val="25000"/>
                  </a:schemeClr>
                </a:solidFill>
                <a:latin typeface="Segoe UI" panose="020B0502040204020203" pitchFamily="34" charset="0"/>
                <a:cs typeface="Segoe UI" panose="020B0502040204020203" pitchFamily="34" charset="0"/>
              </a:rPr>
              <a:t>fórmula de matriz</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574649" y="1064131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52" name="Passo"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728931"/>
            <a:ext cx="4809517" cy="885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Prima</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pt-pt" sz="1100">
                <a:solidFill>
                  <a:schemeClr val="tx1">
                    <a:lumMod val="75000"/>
                    <a:lumOff val="25000"/>
                  </a:schemeClr>
                </a:solidFill>
                <a:latin typeface="Segoe UI" panose="020B0502040204020203" pitchFamily="34" charset="0"/>
                <a:cs typeface="Segoe UI" panose="020B0502040204020203" pitchFamily="34" charset="0"/>
              </a:rPr>
              <a:t>Se obtiver o resultado #VALOR!, experimente novamente e comece no passo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676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54" name="Passo"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564093"/>
            <a:ext cx="4809517" cy="1052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em qualquer uma das células amarelas para selecionar apenas uma. Observe a fórmula na parte superior do Excel. A fórmula terá o seguinte aspeto:</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pt-pt" sz="1100" b="1">
                <a:solidFill>
                  <a:schemeClr val="tx1">
                    <a:lumMod val="75000"/>
                    <a:lumOff val="25000"/>
                  </a:schemeClr>
                </a:solidFill>
                <a:latin typeface="Segoe UI" panose="020B0502040204020203" pitchFamily="34" charset="0"/>
                <a:cs typeface="Segoe UI" panose="020B0502040204020203" pitchFamily="34" charset="0"/>
              </a:rPr>
              <a:t>{=TRANSPOR(C33:H34)}</a:t>
            </a:r>
            <a:br>
              <a:rPr lang="en-US" sz="1100">
                <a:solidFill>
                  <a:schemeClr val="tx1">
                    <a:lumMod val="75000"/>
                    <a:lumOff val="25000"/>
                  </a:schemeClr>
                </a:solidFill>
                <a:latin typeface="Segoe UI" panose="020B0502040204020203" pitchFamily="34" charset="0"/>
                <a:cs typeface="Segoe UI" panose="020B0502040204020203" pitchFamily="34" charset="0"/>
              </a:rPr>
            </a:b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589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38" name="Retângulo: cantos Arredondados 137" descr="Tecla Ctrl">
            <a:extLst>
              <a:ext uri="{FF2B5EF4-FFF2-40B4-BE49-F238E27FC236}">
                <a16:creationId xmlns:a16="http://schemas.microsoft.com/office/drawing/2014/main" id="{00000000-0008-0000-0400-00008A000000}"/>
              </a:ext>
            </a:extLst>
          </xdr:cNvPr>
          <xdr:cNvSpPr/>
        </xdr:nvSpPr>
        <xdr:spPr>
          <a:xfrm>
            <a:off x="1528829" y="8761248"/>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tângulo: cantos Arredondados 138" descr="Tecla Shift">
            <a:extLst>
              <a:ext uri="{FF2B5EF4-FFF2-40B4-BE49-F238E27FC236}">
                <a16:creationId xmlns:a16="http://schemas.microsoft.com/office/drawing/2014/main" id="{00000000-0008-0000-0400-00008B000000}"/>
              </a:ext>
            </a:extLst>
          </xdr:cNvPr>
          <xdr:cNvSpPr/>
        </xdr:nvSpPr>
        <xdr:spPr>
          <a:xfrm>
            <a:off x="2073231" y="8761248"/>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tângulo: cantos Arredondados 139" descr="Tecla Enter">
            <a:extLst>
              <a:ext uri="{FF2B5EF4-FFF2-40B4-BE49-F238E27FC236}">
                <a16:creationId xmlns:a16="http://schemas.microsoft.com/office/drawing/2014/main" id="{00000000-0008-0000-0400-00008C000000}"/>
              </a:ext>
            </a:extLst>
          </xdr:cNvPr>
          <xdr:cNvSpPr/>
        </xdr:nvSpPr>
        <xdr:spPr>
          <a:xfrm>
            <a:off x="2625951" y="8761248"/>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56</xdr:row>
      <xdr:rowOff>9524</xdr:rowOff>
    </xdr:from>
    <xdr:to>
      <xdr:col>1</xdr:col>
      <xdr:colOff>5238750</xdr:colOff>
      <xdr:row>73</xdr:row>
      <xdr:rowOff>19049</xdr:rowOff>
    </xdr:to>
    <xdr:grpSp>
      <xdr:nvGrpSpPr>
        <xdr:cNvPr id="157" name="O que é uma fórmula de matriz?"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1249024"/>
          <a:ext cx="5716905" cy="3248025"/>
          <a:chOff x="0" y="-9524"/>
          <a:chExt cx="5695950" cy="3105150"/>
        </a:xfrm>
      </xdr:grpSpPr>
      <xdr:sp macro="" textlink="">
        <xdr:nvSpPr>
          <xdr:cNvPr id="161" name="Retângulo 160" descr="Fundo">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2" name="Passo" descr="O que é uma fórmula de matriz?">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 que é uma fórmula de matriz?</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Conexão Reta 162" descr="Linha decorativa">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xão Reta 163" descr="Linha decorativa">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Passo"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 fórmula de matriz pode executar cálculos em mais do que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célula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numa matriz. No exemplo acima, a matriz é o conjunto de dados original</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células C33:H34. A função TRANSPOR muda a orientação horizontal das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células para uma orientação vertical.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 fórmula de matriz é sempre concluída com Ctrl+Shift+Enter, não apenas Enter. Ao premir CTRL+SHIFT+ENTER, calcula a função de matriz. Quando tiver terminado, o Excel coloca chavetas especiais { } à volta da fórmula. Estas chavetas são uma ajuda visual e indicam que a célula selecionada faz parte de uma fórmula de matriz. Estes parênteses retos não podem ser escritos por si. O Excel coloca-os automaticamente quando prime Ctrl+Shift+Enter. </a:t>
            </a:r>
          </a:p>
        </xdr:txBody>
      </xdr:sp>
    </xdr:grpSp>
    <xdr:clientData/>
  </xdr:twoCellAnchor>
  <xdr:twoCellAnchor editAs="oneCell">
    <xdr:from>
      <xdr:col>2</xdr:col>
      <xdr:colOff>31748</xdr:colOff>
      <xdr:row>49</xdr:row>
      <xdr:rowOff>19051</xdr:rowOff>
    </xdr:from>
    <xdr:to>
      <xdr:col>8</xdr:col>
      <xdr:colOff>485772</xdr:colOff>
      <xdr:row>67</xdr:row>
      <xdr:rowOff>19053</xdr:rowOff>
    </xdr:to>
    <xdr:grpSp>
      <xdr:nvGrpSpPr>
        <xdr:cNvPr id="7" name="TENHA EM ATENÇÃ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10;Ctrl+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07000000}"/>
            </a:ext>
          </a:extLst>
        </xdr:cNvPr>
        <xdr:cNvGrpSpPr/>
      </xdr:nvGrpSpPr>
      <xdr:grpSpPr>
        <a:xfrm>
          <a:off x="6584948" y="9925051"/>
          <a:ext cx="4309744" cy="3429002"/>
          <a:chOff x="6403974" y="10344150"/>
          <a:chExt cx="3982246" cy="3103928"/>
        </a:xfrm>
      </xdr:grpSpPr>
      <xdr:sp macro="" textlink="">
        <xdr:nvSpPr>
          <xdr:cNvPr id="176" name="Pass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10;Ctrl+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B0000000}"/>
              </a:ext>
            </a:extLst>
          </xdr:cNvPr>
          <xdr:cNvSpPr txBox="1"/>
        </xdr:nvSpPr>
        <xdr:spPr>
          <a:xfrm>
            <a:off x="6705602" y="10344150"/>
            <a:ext cx="3680618" cy="3103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TENHA EM ATENÇÃO...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Existem três aspetos a ter em conta quando utiliza uma fórmula de matriz: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pt" sz="1100" b="1" kern="0">
                <a:solidFill>
                  <a:schemeClr val="bg2">
                    <a:lumMod val="25000"/>
                  </a:schemeClr>
                </a:solidFill>
                <a:ea typeface="Segoe UI" pitchFamily="34" charset="0"/>
                <a:cs typeface="Segoe UI Light" panose="020B0502040204020203" pitchFamily="34" charset="0"/>
              </a:rPr>
              <a:t>1) </a:t>
            </a:r>
            <a:r>
              <a:rPr lang="pt-pt" sz="1100" kern="0">
                <a:solidFill>
                  <a:schemeClr val="bg2">
                    <a:lumMod val="25000"/>
                  </a:schemeClr>
                </a:solidFill>
                <a:ea typeface="Segoe UI" pitchFamily="34" charset="0"/>
                <a:cs typeface="Segoe UI Light" panose="020B0502040204020203" pitchFamily="34" charset="0"/>
              </a:rPr>
              <a:t>Selecione sempre múltiplas células primeiro e, em seguida, com essas células selecionadas, comece a escrever a fórmula de matriz. Isso é essencial: Selecione múltiplas células primeiro e, em seguida, comece a escrever.</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pt" sz="1100" b="1" kern="0">
                <a:solidFill>
                  <a:schemeClr val="bg2">
                    <a:lumMod val="25000"/>
                  </a:schemeClr>
                </a:solidFill>
                <a:ea typeface="Segoe UI" pitchFamily="34" charset="0"/>
                <a:cs typeface="Segoe UI Light" panose="020B0502040204020203" pitchFamily="34" charset="0"/>
              </a:rPr>
              <a:t>2)</a:t>
            </a:r>
            <a:r>
              <a:rPr lang="pt-pt" sz="1100" kern="0">
                <a:solidFill>
                  <a:schemeClr val="bg2">
                    <a:lumMod val="25000"/>
                  </a:schemeClr>
                </a:solidFill>
                <a:ea typeface="Segoe UI" pitchFamily="34" charset="0"/>
                <a:cs typeface="Segoe UI Light" panose="020B0502040204020203" pitchFamily="34" charset="0"/>
              </a:rPr>
              <a:t> Quando terminar de escrever uma fórmula de matriz, prima </a:t>
            </a:r>
            <a:br>
              <a:rPr lang="en-US" sz="1100" kern="0">
                <a:solidFill>
                  <a:schemeClr val="bg2">
                    <a:lumMod val="25000"/>
                  </a:schemeClr>
                </a:solidFill>
                <a:ea typeface="Segoe UI" pitchFamily="34" charset="0"/>
                <a:cs typeface="Segoe UI Light" panose="020B0502040204020203" pitchFamily="34" charset="0"/>
              </a:rPr>
            </a:br>
            <a:r>
              <a:rPr lang="pt-pt" sz="1100" kern="0">
                <a:solidFill>
                  <a:schemeClr val="bg2">
                    <a:lumMod val="25000"/>
                  </a:schemeClr>
                </a:solidFill>
                <a:ea typeface="Segoe UI" pitchFamily="34" charset="0"/>
                <a:cs typeface="Segoe UI Light" panose="020B0502040204020203" pitchFamily="34" charset="0"/>
              </a:rPr>
              <a:t>Ctrl+Shift+Enter.</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pt" sz="1100" b="1" kern="0">
                <a:solidFill>
                  <a:schemeClr val="bg2">
                    <a:lumMod val="25000"/>
                  </a:schemeClr>
                </a:solidFill>
                <a:ea typeface="Segoe UI" pitchFamily="34" charset="0"/>
                <a:cs typeface="Segoe UI Light" panose="020B0502040204020203" pitchFamily="34" charset="0"/>
              </a:rPr>
              <a:t>3) </a:t>
            </a:r>
            <a:r>
              <a:rPr lang="pt-pt" sz="1100" kern="0">
                <a:solidFill>
                  <a:schemeClr val="bg2">
                    <a:lumMod val="25000"/>
                  </a:schemeClr>
                </a:solidFill>
                <a:ea typeface="Segoe UI" pitchFamily="34" charset="0"/>
                <a:cs typeface="Segoe UI Light" panose="020B0502040204020203" pitchFamily="34" charset="0"/>
              </a:rPr>
              <a:t>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a:t>
            </a:r>
          </a:p>
        </xdr:txBody>
      </xdr:sp>
      <xdr:pic>
        <xdr:nvPicPr>
          <xdr:cNvPr id="177" name="Gráfico 131" descr="Título com Rodas Dentada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68</xdr:row>
      <xdr:rowOff>114300</xdr:rowOff>
    </xdr:from>
    <xdr:to>
      <xdr:col>8</xdr:col>
      <xdr:colOff>66868</xdr:colOff>
      <xdr:row>73</xdr:row>
      <xdr:rowOff>109902</xdr:rowOff>
    </xdr:to>
    <xdr:grpSp>
      <xdr:nvGrpSpPr>
        <xdr:cNvPr id="6" name="EXPLICAÇÃO DO EXCEL" descr="EXPLICAÇÃO DO EXCEL: Como as fórmulas de matriz exigem que prima CTRL+SHIFT+ENTER, algumas pessoas chamam informalmente as fórmulas de matriz de &quot;Fórmulas CSE&quot;">
          <a:extLst>
            <a:ext uri="{FF2B5EF4-FFF2-40B4-BE49-F238E27FC236}">
              <a16:creationId xmlns:a16="http://schemas.microsoft.com/office/drawing/2014/main" id="{00000000-0008-0000-0400-000006000000}"/>
            </a:ext>
          </a:extLst>
        </xdr:cNvPr>
        <xdr:cNvGrpSpPr/>
      </xdr:nvGrpSpPr>
      <xdr:grpSpPr>
        <a:xfrm>
          <a:off x="6629400" y="13639800"/>
          <a:ext cx="3846388" cy="948102"/>
          <a:chOff x="6448425" y="13201650"/>
          <a:chExt cx="3733799" cy="948102"/>
        </a:xfrm>
      </xdr:grpSpPr>
      <xdr:pic>
        <xdr:nvPicPr>
          <xdr:cNvPr id="188" name="Imagem 3" descr="Pessoa">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Balão de Discurso: oval 188" descr="Trecho">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p>
        </xdr:txBody>
      </xdr:sp>
      <xdr:sp macro="" textlink="">
        <xdr:nvSpPr>
          <xdr:cNvPr id="187" name="Passo" descr="EXPLICAÇÃO DO EXCEL&#10;como as fórmulas de matriz exigem que prima Ctrl+Shift+Enter, algumas pessoas chamam informalmente as fórmulas de matriz &quot;Fórmulas CSE&quot;.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EXPLICAÇÃO DO EXCEL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como as fórmulas de matriz exigem que prima Ctrl+Shift+Enter, algumas pessoas chamam informalmente as fórmulas de matriz "Fórmulas CSE". </a:t>
            </a:r>
          </a:p>
        </xdr:txBody>
      </xdr:sp>
    </xdr:grpSp>
    <xdr:clientData/>
  </xdr:twoCellAnchor>
  <xdr:twoCellAnchor editAs="oneCell">
    <xdr:from>
      <xdr:col>0</xdr:col>
      <xdr:colOff>390525</xdr:colOff>
      <xdr:row>74</xdr:row>
      <xdr:rowOff>180975</xdr:rowOff>
    </xdr:from>
    <xdr:to>
      <xdr:col>1</xdr:col>
      <xdr:colOff>5238750</xdr:colOff>
      <xdr:row>91</xdr:row>
      <xdr:rowOff>180975</xdr:rowOff>
    </xdr:to>
    <xdr:grpSp>
      <xdr:nvGrpSpPr>
        <xdr:cNvPr id="5" name="Mais Informações na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849475"/>
          <a:ext cx="5716905" cy="3238500"/>
          <a:chOff x="390525" y="14468475"/>
          <a:chExt cx="5695950" cy="3267075"/>
        </a:xfrm>
      </xdr:grpSpPr>
      <xdr:sp macro="" textlink="">
        <xdr:nvSpPr>
          <xdr:cNvPr id="191" name="Retângulo 190" descr="Fundo">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2" name="Passo" descr="Mais informações na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Conexão Reta 192" descr="Linha decorativa">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Botão Seguinte" descr="Voltar ao início, com hiperligação para a célula A1">
            <a:hlinkClick xmlns:r="http://schemas.openxmlformats.org/officeDocument/2006/relationships" r:id="rId7" tooltip="Selecione para voltar à célula A1 nesta folha de cálculo"/>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95" name="Conexão Reta 194" descr="Linha decorativa">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400-0000C4000000}"/>
              </a:ext>
            </a:extLst>
          </xdr:cNvPr>
          <xdr:cNvSpPr/>
        </xdr:nvSpPr>
        <xdr:spPr>
          <a:xfrm>
            <a:off x="4438650" y="1716175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97" name="Passo" descr="Transpor (rodar) dados de linhas para colunas ou vice-versa, com hiperligação para a Web">
            <a:hlinkClick xmlns:r="http://schemas.openxmlformats.org/officeDocument/2006/relationships" r:id="rId8" tooltip="Selecione para aceder à Web e saber como Transpor (rodar) dados de linhas para colunas ou vice-versa"/>
            <a:extLst>
              <a:ext uri="{FF2B5EF4-FFF2-40B4-BE49-F238E27FC236}">
                <a16:creationId xmlns:a16="http://schemas.microsoft.com/office/drawing/2014/main" id="{00000000-0008-0000-0400-0000C5000000}"/>
              </a:ext>
            </a:extLst>
          </xdr:cNvPr>
          <xdr:cNvSpPr txBox="1"/>
        </xdr:nvSpPr>
        <xdr:spPr>
          <a:xfrm>
            <a:off x="1029308" y="15263324"/>
            <a:ext cx="43427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Transpor (rodar) dados de linhas para colunas ou vice-versa</a:t>
            </a:r>
          </a:p>
        </xdr:txBody>
      </xdr:sp>
      <xdr:pic>
        <xdr:nvPicPr>
          <xdr:cNvPr id="198"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Passo" descr="Tudo sobre a função TRANSPOR, com hiperligação para a Web">
            <a:hlinkClick xmlns:r="http://schemas.openxmlformats.org/officeDocument/2006/relationships" r:id="rId11" tooltip="Selecione para aceder à Web e saber tudo sobre a função TRANSPOR"/>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TRANSPOR</a:t>
            </a:r>
          </a:p>
        </xdr:txBody>
      </xdr:sp>
      <xdr:pic>
        <xdr:nvPicPr>
          <xdr:cNvPr id="200"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Passo" descr="Criar uma fórmula de matriz, com hiperligação para a Web">
            <a:hlinkClick xmlns:r="http://schemas.openxmlformats.org/officeDocument/2006/relationships" r:id="rId12" tooltip="Selecione para aceder à Web e saber como criar uma fórmula de matriz"/>
            <a:extLst>
              <a:ext uri="{FF2B5EF4-FFF2-40B4-BE49-F238E27FC236}">
                <a16:creationId xmlns:a16="http://schemas.microsoft.com/office/drawing/2014/main" id="{00000000-0008-0000-0400-0000C9000000}"/>
              </a:ext>
            </a:extLst>
          </xdr:cNvPr>
          <xdr:cNvSpPr txBox="1"/>
        </xdr:nvSpPr>
        <xdr:spPr>
          <a:xfrm>
            <a:off x="1029308" y="16195097"/>
            <a:ext cx="27711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fórmula de matriz</a:t>
            </a:r>
          </a:p>
        </xdr:txBody>
      </xdr:sp>
      <xdr:pic>
        <xdr:nvPicPr>
          <xdr:cNvPr id="202"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Botão Colar" descr="Botão Colar e Seta">
          <a:extLst>
            <a:ext uri="{FF2B5EF4-FFF2-40B4-BE49-F238E27FC236}">
              <a16:creationId xmlns:a16="http://schemas.microsoft.com/office/drawing/2014/main" id="{00000000-0008-0000-0400-000003000000}"/>
            </a:ext>
          </a:extLst>
        </xdr:cNvPr>
        <xdr:cNvGrpSpPr/>
      </xdr:nvGrpSpPr>
      <xdr:grpSpPr>
        <a:xfrm>
          <a:off x="4764405" y="2276475"/>
          <a:ext cx="544973" cy="666667"/>
          <a:chOff x="4838700" y="2324100"/>
          <a:chExt cx="544973" cy="666667"/>
        </a:xfrm>
      </xdr:grpSpPr>
      <xdr:pic>
        <xdr:nvPicPr>
          <xdr:cNvPr id="2" name="Imagem 1" descr="Botão Colar">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rcRect/>
          <a:stretch/>
        </xdr:blipFill>
        <xdr:spPr>
          <a:xfrm>
            <a:off x="4838700" y="2324100"/>
            <a:ext cx="409523" cy="666667"/>
          </a:xfrm>
          <a:prstGeom prst="rect">
            <a:avLst/>
          </a:prstGeom>
          <a:ln>
            <a:solidFill>
              <a:schemeClr val="bg1">
                <a:lumMod val="75000"/>
              </a:schemeClr>
            </a:solidFill>
          </a:ln>
        </xdr:spPr>
      </xdr:pic>
      <xdr:sp macro="" textlink="">
        <xdr:nvSpPr>
          <xdr:cNvPr id="104" name="Arco 103" descr="Seta">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5</xdr:col>
      <xdr:colOff>304800</xdr:colOff>
      <xdr:row>7</xdr:row>
      <xdr:rowOff>142875</xdr:rowOff>
    </xdr:from>
    <xdr:to>
      <xdr:col>9</xdr:col>
      <xdr:colOff>171449</xdr:colOff>
      <xdr:row>12</xdr:row>
      <xdr:rowOff>138477</xdr:rowOff>
    </xdr:to>
    <xdr:grpSp>
      <xdr:nvGrpSpPr>
        <xdr:cNvPr id="4" name="SUGESTÃO AVANÇADA" descr="SUGESTÃO AVANÇADA: O atalho de teclado da opção Colar Especial é Ctrl+Alt+V.">
          <a:extLst>
            <a:ext uri="{FF2B5EF4-FFF2-40B4-BE49-F238E27FC236}">
              <a16:creationId xmlns:a16="http://schemas.microsoft.com/office/drawing/2014/main" id="{00000000-0008-0000-0400-000004000000}"/>
            </a:ext>
          </a:extLst>
        </xdr:cNvPr>
        <xdr:cNvGrpSpPr/>
      </xdr:nvGrpSpPr>
      <xdr:grpSpPr>
        <a:xfrm>
          <a:off x="8884920" y="2047875"/>
          <a:ext cx="2305049" cy="948102"/>
          <a:chOff x="8448675" y="2143125"/>
          <a:chExt cx="2228849" cy="948102"/>
        </a:xfrm>
      </xdr:grpSpPr>
      <xdr:pic>
        <xdr:nvPicPr>
          <xdr:cNvPr id="107" name="Gráfico 2" descr="Coruja">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Passo" descr="SUGESTÃO AVANÇADA&#10;O atalho de teclado da opção Colar Especial é Ctrl+Alt+V. &#10;">
            <a:extLst>
              <a:ext uri="{FF2B5EF4-FFF2-40B4-BE49-F238E27FC236}">
                <a16:creationId xmlns:a16="http://schemas.microsoft.com/office/drawing/2014/main" id="{00000000-0008-0000-0400-00006C000000}"/>
              </a:ext>
            </a:extLst>
          </xdr:cNvPr>
          <xdr:cNvSpPr txBox="1"/>
        </xdr:nvSpPr>
        <xdr:spPr>
          <a:xfrm>
            <a:off x="8782051" y="2143125"/>
            <a:ext cx="18954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O atalho de teclado da opção Colar Especial é Ctrl+Alt+V.</a:t>
            </a:r>
            <a:r>
              <a:rPr lang="pt-pt"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14</xdr:row>
      <xdr:rowOff>0</xdr:rowOff>
    </xdr:from>
    <xdr:to>
      <xdr:col>6</xdr:col>
      <xdr:colOff>190500</xdr:colOff>
      <xdr:row>23</xdr:row>
      <xdr:rowOff>1</xdr:rowOff>
    </xdr:to>
    <xdr:grpSp>
      <xdr:nvGrpSpPr>
        <xdr:cNvPr id="6" name="PONTOS EXTRA" descr="PONTOS EXTRA: 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a:extLst>
            <a:ext uri="{FF2B5EF4-FFF2-40B4-BE49-F238E27FC236}">
              <a16:creationId xmlns:a16="http://schemas.microsoft.com/office/drawing/2014/main" id="{00000000-0008-0000-0500-000006000000}"/>
            </a:ext>
          </a:extLst>
        </xdr:cNvPr>
        <xdr:cNvGrpSpPr/>
      </xdr:nvGrpSpPr>
      <xdr:grpSpPr>
        <a:xfrm>
          <a:off x="6553200" y="3238500"/>
          <a:ext cx="4229100" cy="1714501"/>
          <a:chOff x="7248525" y="3467099"/>
          <a:chExt cx="4114800" cy="1494960"/>
        </a:xfrm>
      </xdr:grpSpPr>
      <xdr:sp macro="" textlink="">
        <xdr:nvSpPr>
          <xdr:cNvPr id="40" name="Passo"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00000000-0008-0000-0500-000028000000}"/>
              </a:ext>
            </a:extLst>
          </xdr:cNvPr>
          <xdr:cNvSpPr txBox="1"/>
        </xdr:nvSpPr>
        <xdr:spPr>
          <a:xfrm>
            <a:off x="7608105" y="3467099"/>
            <a:ext cx="3755220" cy="149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Quando tiver concluído o passo 5,</a:t>
            </a:r>
            <a:r>
              <a:rPr lang="pt-pt" sz="1100" kern="0" baseline="0">
                <a:solidFill>
                  <a:schemeClr val="bg2">
                    <a:lumMod val="25000"/>
                  </a:schemeClr>
                </a:solidFill>
                <a:ea typeface="Segoe UI" pitchFamily="34" charset="0"/>
                <a:cs typeface="Segoe UI Light" panose="020B0502040204020203" pitchFamily="34" charset="0"/>
              </a:rPr>
              <a:t> experimente ordenar duas colunas por ordem alfabética. Eis como fazê-lo: Primeiro ordene por ordem alfabética a coluna </a:t>
            </a:r>
            <a:r>
              <a:rPr lang="pt-pt" sz="1100" b="1" kern="0" baseline="0">
                <a:solidFill>
                  <a:schemeClr val="bg2">
                    <a:lumMod val="25000"/>
                  </a:schemeClr>
                </a:solidFill>
                <a:ea typeface="Segoe UI" pitchFamily="34" charset="0"/>
                <a:cs typeface="Segoe UI Light" panose="020B0502040204020203" pitchFamily="34" charset="0"/>
              </a:rPr>
              <a:t>Departamento</a:t>
            </a:r>
            <a:r>
              <a:rPr lang="pt-pt" sz="1100" kern="0" baseline="0">
                <a:solidFill>
                  <a:schemeClr val="bg2">
                    <a:lumMod val="25000"/>
                  </a:schemeClr>
                </a:solidFill>
                <a:ea typeface="Segoe UI" pitchFamily="34" charset="0"/>
                <a:cs typeface="Segoe UI Light" panose="020B0502040204020203" pitchFamily="34" charset="0"/>
              </a:rPr>
              <a:t> (o passo 1 no lado esquerdo). Em seguida, clique em </a:t>
            </a:r>
            <a:r>
              <a:rPr lang="pt-pt" sz="1100" b="1" kern="0" baseline="0">
                <a:solidFill>
                  <a:schemeClr val="bg2">
                    <a:lumMod val="25000"/>
                  </a:schemeClr>
                </a:solidFill>
                <a:ea typeface="Segoe UI" pitchFamily="34" charset="0"/>
                <a:cs typeface="Segoe UI Light" panose="020B0502040204020203" pitchFamily="34" charset="0"/>
              </a:rPr>
              <a:t>Base</a:t>
            </a:r>
            <a:r>
              <a:rPr lang="pt-pt" sz="1100" kern="0" baseline="0">
                <a:solidFill>
                  <a:schemeClr val="bg2">
                    <a:lumMod val="25000"/>
                  </a:schemeClr>
                </a:solidFill>
                <a:ea typeface="Segoe UI" pitchFamily="34" charset="0"/>
                <a:cs typeface="Segoe UI Light" panose="020B0502040204020203" pitchFamily="34" charset="0"/>
              </a:rPr>
              <a:t> </a:t>
            </a:r>
            <a:r>
              <a:rPr lang="pt-pt" sz="1100" b="0" kern="0" baseline="0">
                <a:solidFill>
                  <a:schemeClr val="bg2">
                    <a:lumMod val="25000"/>
                  </a:schemeClr>
                </a:solidFill>
                <a:ea typeface="Segoe UI" pitchFamily="34" charset="0"/>
                <a:cs typeface="Segoe UI Light" panose="020B0502040204020203" pitchFamily="34" charset="0"/>
              </a:rPr>
              <a:t>&gt;</a:t>
            </a:r>
            <a:r>
              <a:rPr lang="pt-pt" sz="1100" b="1" kern="0" baseline="0">
                <a:solidFill>
                  <a:schemeClr val="bg2">
                    <a:lumMod val="25000"/>
                  </a:schemeClr>
                </a:solidFill>
                <a:ea typeface="Segoe UI" pitchFamily="34" charset="0"/>
                <a:cs typeface="Segoe UI Light" panose="020B0502040204020203" pitchFamily="34" charset="0"/>
              </a:rPr>
              <a:t> Ordenar e</a:t>
            </a:r>
            <a:r>
              <a:rPr lang="pt-pt" sz="1100" kern="0" baseline="0">
                <a:solidFill>
                  <a:schemeClr val="bg2">
                    <a:lumMod val="25000"/>
                  </a:schemeClr>
                </a:solidFill>
                <a:ea typeface="Segoe UI" pitchFamily="34" charset="0"/>
                <a:cs typeface="Segoe UI Light" panose="020B0502040204020203" pitchFamily="34" charset="0"/>
              </a:rPr>
              <a:t> </a:t>
            </a:r>
            <a:r>
              <a:rPr lang="pt-pt" sz="1100" b="1" kern="0" baseline="0">
                <a:solidFill>
                  <a:schemeClr val="bg2">
                    <a:lumMod val="25000"/>
                  </a:schemeClr>
                </a:solidFill>
                <a:ea typeface="Segoe UI" pitchFamily="34" charset="0"/>
                <a:cs typeface="Segoe UI Light" panose="020B0502040204020203" pitchFamily="34" charset="0"/>
              </a:rPr>
              <a:t>Filtrar </a:t>
            </a:r>
            <a:r>
              <a:rPr lang="pt-pt" sz="1100" b="0" kern="0" baseline="0">
                <a:solidFill>
                  <a:schemeClr val="bg2">
                    <a:lumMod val="25000"/>
                  </a:schemeClr>
                </a:solidFill>
                <a:ea typeface="Segoe UI" pitchFamily="34" charset="0"/>
                <a:cs typeface="Segoe UI Light" panose="020B0502040204020203" pitchFamily="34" charset="0"/>
              </a:rPr>
              <a:t>&gt;</a:t>
            </a:r>
            <a:r>
              <a:rPr lang="pt-pt" sz="1100" b="1" kern="0" baseline="0">
                <a:solidFill>
                  <a:schemeClr val="bg2">
                    <a:lumMod val="25000"/>
                  </a:schemeClr>
                </a:solidFill>
                <a:ea typeface="Segoe UI" pitchFamily="34" charset="0"/>
                <a:cs typeface="Segoe UI Light" panose="020B0502040204020203" pitchFamily="34" charset="0"/>
              </a:rPr>
              <a:t> Ordenação Personalizada</a:t>
            </a:r>
            <a:r>
              <a:rPr lang="pt-pt" sz="1100" kern="0" baseline="0">
                <a:solidFill>
                  <a:schemeClr val="bg2">
                    <a:lumMod val="25000"/>
                  </a:schemeClr>
                </a:solidFill>
                <a:ea typeface="Segoe UI" pitchFamily="34" charset="0"/>
                <a:cs typeface="Segoe UI Light" panose="020B0502040204020203" pitchFamily="34" charset="0"/>
              </a:rPr>
              <a:t>. Adicione um segundo nível para </a:t>
            </a:r>
            <a:r>
              <a:rPr lang="pt-pt" sz="1100" b="1" kern="0" baseline="0">
                <a:solidFill>
                  <a:schemeClr val="bg2">
                    <a:lumMod val="25000"/>
                  </a:schemeClr>
                </a:solidFill>
                <a:ea typeface="Segoe UI" pitchFamily="34" charset="0"/>
                <a:cs typeface="Segoe UI Light" panose="020B0502040204020203" pitchFamily="34" charset="0"/>
              </a:rPr>
              <a:t>Categoria</a:t>
            </a:r>
            <a:r>
              <a:rPr lang="pt-pt" sz="1100" kern="0" baseline="0">
                <a:solidFill>
                  <a:schemeClr val="bg2">
                    <a:lumMod val="25000"/>
                  </a:schemeClr>
                </a:solidFill>
                <a:ea typeface="Segoe UI" pitchFamily="34" charset="0"/>
                <a:cs typeface="Segoe UI Light" panose="020B0502040204020203" pitchFamily="34" charset="0"/>
              </a:rPr>
              <a:t>. Após clicar em OK, a coluna </a:t>
            </a:r>
            <a:r>
              <a:rPr lang="pt-pt" sz="1100" b="1" kern="0" baseline="0">
                <a:solidFill>
                  <a:schemeClr val="bg2">
                    <a:lumMod val="25000"/>
                  </a:schemeClr>
                </a:solidFill>
                <a:ea typeface="Segoe UI" pitchFamily="34" charset="0"/>
                <a:cs typeface="Segoe UI Light" panose="020B0502040204020203" pitchFamily="34" charset="0"/>
              </a:rPr>
              <a:t>Departamento</a:t>
            </a:r>
            <a:r>
              <a:rPr lang="pt-pt" sz="1100" kern="0" baseline="0">
                <a:solidFill>
                  <a:schemeClr val="bg2">
                    <a:lumMod val="25000"/>
                  </a:schemeClr>
                </a:solidFill>
                <a:ea typeface="Segoe UI" pitchFamily="34" charset="0"/>
                <a:cs typeface="Segoe UI Light" panose="020B0502040204020203" pitchFamily="34" charset="0"/>
              </a:rPr>
              <a:t> é ordenada, e em cada departamento, as linhas da coluna </a:t>
            </a:r>
            <a:r>
              <a:rPr lang="pt-pt" sz="1100" b="1" kern="0" baseline="0">
                <a:solidFill>
                  <a:schemeClr val="bg2">
                    <a:lumMod val="25000"/>
                  </a:schemeClr>
                </a:solidFill>
                <a:ea typeface="Segoe UI" pitchFamily="34" charset="0"/>
                <a:cs typeface="Segoe UI Light" panose="020B0502040204020203" pitchFamily="34" charset="0"/>
              </a:rPr>
              <a:t>Categoria</a:t>
            </a:r>
            <a:r>
              <a:rPr lang="pt-pt" sz="1100" kern="0" baseline="0">
                <a:solidFill>
                  <a:schemeClr val="bg2">
                    <a:lumMod val="25000"/>
                  </a:schemeClr>
                </a:solidFill>
                <a:ea typeface="Segoe UI" pitchFamily="34" charset="0"/>
                <a:cs typeface="Segoe UI Light" panose="020B0502040204020203" pitchFamily="34" charset="0"/>
              </a:rPr>
              <a:t> também são ordenadas por ordem alfabética.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5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368744"/>
          </a:xfrm>
          <a:prstGeom prst="rect">
            <a:avLst/>
          </a:prstGeom>
        </xdr:spPr>
      </xdr:pic>
    </xdr:grpSp>
    <xdr:clientData/>
  </xdr:twoCellAnchor>
  <xdr:twoCellAnchor editAs="oneCell">
    <xdr:from>
      <xdr:col>0</xdr:col>
      <xdr:colOff>333375</xdr:colOff>
      <xdr:row>0</xdr:row>
      <xdr:rowOff>266700</xdr:rowOff>
    </xdr:from>
    <xdr:to>
      <xdr:col>1</xdr:col>
      <xdr:colOff>5181600</xdr:colOff>
      <xdr:row>24</xdr:row>
      <xdr:rowOff>104775</xdr:rowOff>
    </xdr:to>
    <xdr:grpSp>
      <xdr:nvGrpSpPr>
        <xdr:cNvPr id="5" name="Ordenar e filtrar facilment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16905" cy="4981575"/>
          <a:chOff x="333375" y="266700"/>
          <a:chExt cx="5695950" cy="4981575"/>
        </a:xfrm>
      </xdr:grpSpPr>
      <xdr:sp macro="" textlink="">
        <xdr:nvSpPr>
          <xdr:cNvPr id="78" name="Retângulo 77" descr="Fundo">
            <a:extLst>
              <a:ext uri="{FF2B5EF4-FFF2-40B4-BE49-F238E27FC236}">
                <a16:creationId xmlns:a16="http://schemas.microsoft.com/office/drawing/2014/main" id="{00000000-0008-0000-0500-00004E000000}"/>
              </a:ext>
            </a:extLst>
          </xdr:cNvPr>
          <xdr:cNvSpPr/>
        </xdr:nvSpPr>
        <xdr:spPr>
          <a:xfrm>
            <a:off x="333375" y="266700"/>
            <a:ext cx="5695950" cy="498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Passo" descr="Ordenar e filtrar facilment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Ordenar e filtrar facilmente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5759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500-000052000000}"/>
              </a:ext>
            </a:extLst>
          </xdr:cNvPr>
          <xdr:cNvCxnSpPr>
            <a:cxnSpLocks/>
          </xdr:cNvCxnSpPr>
        </xdr:nvCxnSpPr>
        <xdr:spPr>
          <a:xfrm>
            <a:off x="568299" y="43148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hiperligação para a folha seguinte">
            <a:hlinkClick xmlns:r="http://schemas.openxmlformats.org/officeDocument/2006/relationships" r:id="rId4" tooltip="Selecione para ir para o passo seguinte"/>
            <a:extLst>
              <a:ext uri="{FF2B5EF4-FFF2-40B4-BE49-F238E27FC236}">
                <a16:creationId xmlns:a16="http://schemas.microsoft.com/office/drawing/2014/main" id="{00000000-0008-0000-0500-000053000000}"/>
              </a:ext>
            </a:extLst>
          </xdr:cNvPr>
          <xdr:cNvSpPr/>
        </xdr:nvSpPr>
        <xdr:spPr>
          <a:xfrm>
            <a:off x="4410075" y="457593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84" name="Passo" descr="Imaginemos que pretende ter os departamentos por ordem alfabética. Clique na coluna Departamento e, em seguida, clique em Base &gt; Ordenar e Filtrar &gt; Ordenar de A a Z">
            <a:extLst>
              <a:ext uri="{FF2B5EF4-FFF2-40B4-BE49-F238E27FC236}">
                <a16:creationId xmlns:a16="http://schemas.microsoft.com/office/drawing/2014/main" id="{00000000-0008-0000-0500-000054000000}"/>
              </a:ext>
            </a:extLst>
          </xdr:cNvPr>
          <xdr:cNvSpPr txBox="1"/>
        </xdr:nvSpPr>
        <xdr:spPr>
          <a:xfrm>
            <a:off x="972158" y="1004776"/>
            <a:ext cx="4809516" cy="662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Imaginemos que pretende ter os departamentos por ordem alfabética. Clique na coluna Departamento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Base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e Filtrar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de A a Z</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099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86" name="Passo" descr="Ordene os montantes de Dezembro do maior ao mais pequeno. Clique em qualquer célula na coluna Dez e, em seguida, clique em Base &gt; Ordenar e Filtrar &gt; Ordenar do Maior ao Mais Pequeno">
            <a:extLst>
              <a:ext uri="{FF2B5EF4-FFF2-40B4-BE49-F238E27FC236}">
                <a16:creationId xmlns:a16="http://schemas.microsoft.com/office/drawing/2014/main" id="{00000000-0008-0000-0500-000056000000}"/>
              </a:ext>
            </a:extLst>
          </xdr:cNvPr>
          <xdr:cNvSpPr txBox="1"/>
        </xdr:nvSpPr>
        <xdr:spPr>
          <a:xfrm>
            <a:off x="972157" y="1614577"/>
            <a:ext cx="4847618" cy="671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Ordene os montantes de Dezembro do maior para o mais pequeno. Clique em qualquer célula na coluna Dez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Base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e Filtrar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do maior ao mais pequeno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9112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88" name="Passo" descr="Agora filtre os dados para que apenas as linhas de Padaria apareçam. Prima Ctrl+T para selecionar todas as células e, em seguida, clique em Base &gt; Ordenar e Filtrar &gt; Filtrar.">
            <a:extLst>
              <a:ext uri="{FF2B5EF4-FFF2-40B4-BE49-F238E27FC236}">
                <a16:creationId xmlns:a16="http://schemas.microsoft.com/office/drawing/2014/main" id="{00000000-0008-0000-0500-000058000000}"/>
              </a:ext>
            </a:extLst>
          </xdr:cNvPr>
          <xdr:cNvSpPr txBox="1"/>
        </xdr:nvSpPr>
        <xdr:spPr>
          <a:xfrm>
            <a:off x="972157" y="2254582"/>
            <a:ext cx="4885717" cy="679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filtre os dados para que apenas as linhas de Padaria apareçam. Prima Ctrl+T para selecionar todas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as células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depois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Base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e Filtrar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Filtrar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25970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90" name="Passo" descr="Os botões de filtro aparecem na linha superior. Na célula Departamento, clique no botão de filtro e, em seguida, clique para desmarcar a caixa de verificação Selecionar Tudo. Em seguida, clique para selecionar Padaria.">
            <a:extLst>
              <a:ext uri="{FF2B5EF4-FFF2-40B4-BE49-F238E27FC236}">
                <a16:creationId xmlns:a16="http://schemas.microsoft.com/office/drawing/2014/main" id="{00000000-0008-0000-0500-00005A000000}"/>
              </a:ext>
            </a:extLst>
          </xdr:cNvPr>
          <xdr:cNvSpPr txBox="1"/>
        </xdr:nvSpPr>
        <xdr:spPr>
          <a:xfrm>
            <a:off x="972158" y="2893532"/>
            <a:ext cx="4809516" cy="65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Os botões de filtro aparecem na linha superior. Na célula </a:t>
            </a:r>
            <a:r>
              <a:rPr lang="pt-pt"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Departamento</a:t>
            </a: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no botão de filtro      e, em seguida, clique para desmarcar a caixa de verificação </a:t>
            </a:r>
            <a:r>
              <a:rPr lang="pt-pt"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Selecionar Tudo</a:t>
            </a: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seguida, clique para selecionar </a:t>
            </a:r>
            <a:r>
              <a:rPr lang="pt-pt"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Padaria</a:t>
            </a: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8891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92" name="Passo" descr="Clique em OK, e apenas as linhas de Padaria aparecem. Agora limpe o filtro ao clicar no botão de filtro em Departamento e, em seguida, clique em Limpar Filtro...">
            <a:extLst>
              <a:ext uri="{FF2B5EF4-FFF2-40B4-BE49-F238E27FC236}">
                <a16:creationId xmlns:a16="http://schemas.microsoft.com/office/drawing/2014/main" id="{00000000-0008-0000-0500-00005C000000}"/>
              </a:ext>
            </a:extLst>
          </xdr:cNvPr>
          <xdr:cNvSpPr txBox="1"/>
        </xdr:nvSpPr>
        <xdr:spPr>
          <a:xfrm>
            <a:off x="972158" y="3535032"/>
            <a:ext cx="4809516" cy="69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apenas as linhas de Padaria aparecem. Agora limpe o filtro ao clicar no botão de filtro      em Departamento e, em seguida, clicar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Limpar filtro...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5496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pic>
        <xdr:nvPicPr>
          <xdr:cNvPr id="94" name="Imagem 93" descr="Botão de filtro">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2565877" y="3166810"/>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43</xdr:row>
      <xdr:rowOff>19050</xdr:rowOff>
    </xdr:to>
    <xdr:grpSp>
      <xdr:nvGrpSpPr>
        <xdr:cNvPr id="106" name="Ordenar por data ou até por cor"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716905" cy="3267075"/>
          <a:chOff x="0" y="-9524"/>
          <a:chExt cx="5695950" cy="3267075"/>
        </a:xfrm>
      </xdr:grpSpPr>
      <xdr:sp macro="" textlink="">
        <xdr:nvSpPr>
          <xdr:cNvPr id="107" name="Retângulo 106" descr="Fundo">
            <a:extLst>
              <a:ext uri="{FF2B5EF4-FFF2-40B4-BE49-F238E27FC236}">
                <a16:creationId xmlns:a16="http://schemas.microsoft.com/office/drawing/2014/main" id="{00000000-0008-0000-0500-00006B000000}"/>
              </a:ext>
            </a:extLst>
          </xdr:cNvPr>
          <xdr:cNvSpPr/>
        </xdr:nvSpPr>
        <xdr:spPr>
          <a:xfrm>
            <a:off x="0" y="-9524"/>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8" name="Passo" descr="Ordenar por data ou até por cor">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Ordenar por data ou até por cor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Conexão Reta 108" descr="Linha decorativa">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Conexão Reta 109" descr="Linha decorativa">
            <a:extLst>
              <a:ext uri="{FF2B5EF4-FFF2-40B4-BE49-F238E27FC236}">
                <a16:creationId xmlns:a16="http://schemas.microsoft.com/office/drawing/2014/main" id="{00000000-0008-0000-0500-00006E000000}"/>
              </a:ext>
            </a:extLst>
          </xdr:cNvPr>
          <xdr:cNvCxnSpPr>
            <a:cxnSpLocks/>
          </xdr:cNvCxnSpPr>
        </xdr:nvCxnSpPr>
        <xdr:spPr>
          <a:xfrm>
            <a:off x="234924" y="2962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Passo" descr="Existem várias formas de ordenar no Excel. Eis apenas mais duas formas de ordenar, mas nestas terá de utilizar o menu de contexto:">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Existem várias formas de ordenar no Excel. Eis apenas mais duas formas de ordenar, mas nestas terá de utilizar o menu de contexto:</a:t>
            </a:r>
          </a:p>
        </xdr:txBody>
      </xdr:sp>
      <xdr:sp macro="" textlink="">
        <xdr:nvSpPr>
          <xdr:cNvPr id="112" name="Passo"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173622"/>
            <a:ext cx="4809516" cy="83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spc="-10" baseline="0">
                <a:solidFill>
                  <a:schemeClr val="tx1">
                    <a:lumMod val="75000"/>
                    <a:lumOff val="25000"/>
                  </a:schemeClr>
                </a:solidFill>
                <a:latin typeface="Segoe UI" panose="020B0502040204020203" pitchFamily="34" charset="0"/>
                <a:cs typeface="Segoe UI" panose="020B0502040204020203" pitchFamily="34" charset="0"/>
              </a:rPr>
              <a:t>Quer as datas por ordem. Para o fazer, faça duplo clique numa data e, em seguida, clique em </a:t>
            </a:r>
            <a:r>
              <a:rPr lang="pt-pt" sz="1100" b="1" spc="-10" baseline="0">
                <a:solidFill>
                  <a:schemeClr val="tx1">
                    <a:lumMod val="75000"/>
                    <a:lumOff val="25000"/>
                  </a:schemeClr>
                </a:solidFill>
                <a:latin typeface="Segoe UI" panose="020B0502040204020203" pitchFamily="34" charset="0"/>
                <a:cs typeface="Segoe UI" panose="020B0502040204020203" pitchFamily="34" charset="0"/>
              </a:rPr>
              <a:t>Ordenar</a:t>
            </a:r>
            <a:r>
              <a:rPr lang="pt-pt" sz="1100" spc="-10" baseline="0">
                <a:solidFill>
                  <a:schemeClr val="tx1">
                    <a:lumMod val="75000"/>
                    <a:lumOff val="25000"/>
                  </a:schemeClr>
                </a:solidFill>
                <a:latin typeface="Segoe UI" panose="020B0502040204020203" pitchFamily="34" charset="0"/>
                <a:cs typeface="Segoe UI" panose="020B0502040204020203" pitchFamily="34" charset="0"/>
              </a:rPr>
              <a:t> &gt; </a:t>
            </a:r>
            <a:r>
              <a:rPr lang="pt-pt" sz="1100" b="1" spc="-10" baseline="0">
                <a:solidFill>
                  <a:schemeClr val="tx1">
                    <a:lumMod val="75000"/>
                    <a:lumOff val="25000"/>
                  </a:schemeClr>
                </a:solidFill>
                <a:latin typeface="Segoe UI" panose="020B0502040204020203" pitchFamily="34" charset="0"/>
                <a:cs typeface="Segoe UI" panose="020B0502040204020203" pitchFamily="34" charset="0"/>
              </a:rPr>
              <a:t>Ordenar do Mais Antigo ao Mais Recente</a:t>
            </a:r>
            <a:r>
              <a:rPr lang="pt-pt" sz="1100" spc="-10" baseline="0">
                <a:solidFill>
                  <a:schemeClr val="tx1">
                    <a:lumMod val="75000"/>
                    <a:lumOff val="25000"/>
                  </a:schemeClr>
                </a:solidFill>
                <a:latin typeface="Segoe UI" panose="020B0502040204020203" pitchFamily="34" charset="0"/>
                <a:cs typeface="Segoe UI" panose="020B0502040204020203" pitchFamily="34" charset="0"/>
              </a:rPr>
              <a:t>. As linhas são ordenadas por ordem de data ascendente pela Data da despesa.</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14" name="Passo" descr="Três células já estão preenchidas a amarelo. Pode ordenar as linhas por essa cor. Clique com o botão direito do rato numa célula amarela e, em seguida, clique em Ordenar &gt; Colocar Cor da Célula Selecionada Em Cima.">
            <a:extLst>
              <a:ext uri="{FF2B5EF4-FFF2-40B4-BE49-F238E27FC236}">
                <a16:creationId xmlns:a16="http://schemas.microsoft.com/office/drawing/2014/main" id="{00000000-0008-0000-0500-000072000000}"/>
              </a:ext>
            </a:extLst>
          </xdr:cNvPr>
          <xdr:cNvSpPr txBox="1"/>
        </xdr:nvSpPr>
        <xdr:spPr>
          <a:xfrm>
            <a:off x="638782" y="1988138"/>
            <a:ext cx="4809517" cy="85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Três células já estão preenchidas a amarelo. Pode ordenar as linhas por essa cor. Clique com o botão direito do rato numa célula amarela e, em seguida,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Ordenar</a:t>
            </a:r>
            <a:r>
              <a:rPr lang="pt-pt" sz="1100">
                <a:solidFill>
                  <a:schemeClr val="tx1">
                    <a:lumMod val="75000"/>
                    <a:lumOff val="25000"/>
                  </a:schemeClr>
                </a:solidFill>
                <a:latin typeface="Segoe UI" panose="020B0502040204020203" pitchFamily="34" charset="0"/>
                <a:cs typeface="Segoe UI" panose="020B0502040204020203" pitchFamily="34" charset="0"/>
              </a:rPr>
              <a:t> &gt; </a:t>
            </a:r>
            <a:r>
              <a:rPr lang="pt-pt" sz="1100" b="1">
                <a:solidFill>
                  <a:schemeClr val="tx1">
                    <a:lumMod val="75000"/>
                    <a:lumOff val="25000"/>
                  </a:schemeClr>
                </a:solidFill>
                <a:latin typeface="Segoe UI" panose="020B0502040204020203" pitchFamily="34" charset="0"/>
                <a:cs typeface="Segoe UI" panose="020B0502040204020203" pitchFamily="34" charset="0"/>
              </a:rPr>
              <a:t>Colocar Cor da Célula Selecionada </a:t>
            </a:r>
            <a:br>
              <a:rPr lang="en-US" sz="1100" b="1">
                <a:solidFill>
                  <a:schemeClr val="tx1">
                    <a:lumMod val="75000"/>
                    <a:lumOff val="25000"/>
                  </a:schemeClr>
                </a:solidFill>
                <a:latin typeface="Segoe UI" panose="020B0502040204020203" pitchFamily="34" charset="0"/>
                <a:cs typeface="Segoe UI" panose="020B0502040204020203" pitchFamily="34" charset="0"/>
              </a:rPr>
            </a:br>
            <a:r>
              <a:rPr lang="pt-pt" sz="1100" b="1">
                <a:solidFill>
                  <a:schemeClr val="tx1">
                    <a:lumMod val="75000"/>
                    <a:lumOff val="25000"/>
                  </a:schemeClr>
                </a:solidFill>
                <a:latin typeface="Segoe UI" panose="020B0502040204020203" pitchFamily="34" charset="0"/>
                <a:cs typeface="Segoe UI" panose="020B0502040204020203" pitchFamily="34" charset="0"/>
              </a:rPr>
              <a:t>em cima</a:t>
            </a:r>
            <a:r>
              <a:rPr lang="pt-pt"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202184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581025</xdr:colOff>
      <xdr:row>38</xdr:row>
      <xdr:rowOff>19050</xdr:rowOff>
    </xdr:to>
    <xdr:grpSp>
      <xdr:nvGrpSpPr>
        <xdr:cNvPr id="8" name="Grupo 7" descr="DETALHE IMPORTANTE&#10;Não pode remover uma ordenação como faz com um filtro. Por isso, se não quiser deixar a sua ordenação, pode anulá-la ao premir Ctrl+Z.&#10;">
          <a:extLst>
            <a:ext uri="{FF2B5EF4-FFF2-40B4-BE49-F238E27FC236}">
              <a16:creationId xmlns:a16="http://schemas.microsoft.com/office/drawing/2014/main" id="{CE79A11A-3679-4FE1-8870-918EA0DF3948}"/>
            </a:ext>
          </a:extLst>
        </xdr:cNvPr>
        <xdr:cNvGrpSpPr/>
      </xdr:nvGrpSpPr>
      <xdr:grpSpPr>
        <a:xfrm>
          <a:off x="10858500" y="6210299"/>
          <a:ext cx="2280285" cy="1619251"/>
          <a:chOff x="10582275" y="6629399"/>
          <a:chExt cx="2219325" cy="1619251"/>
        </a:xfrm>
      </xdr:grpSpPr>
      <xdr:pic>
        <xdr:nvPicPr>
          <xdr:cNvPr id="117" name="Gráfico 122" descr="Lupa">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Passo" descr="DETALHE IMPORTANTE&#10;Não pode remover uma ordenação como faz com um filtro. Por isso, se não quiser deixar a sua ordenação, pode anulá-la ao premir Ctrl+Z.&#10;">
            <a:extLst>
              <a:ext uri="{FF2B5EF4-FFF2-40B4-BE49-F238E27FC236}">
                <a16:creationId xmlns:a16="http://schemas.microsoft.com/office/drawing/2014/main" id="{00000000-0008-0000-0500-000076000000}"/>
              </a:ext>
            </a:extLst>
          </xdr:cNvPr>
          <xdr:cNvSpPr txBox="1"/>
        </xdr:nvSpPr>
        <xdr:spPr>
          <a:xfrm>
            <a:off x="10886716" y="6629399"/>
            <a:ext cx="1914884"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Não pode remover uma ordenação como faz com um filtro. Por isso, se não quiser deixar a sua ordenação, pode anulá-la ao </a:t>
            </a:r>
            <a:r>
              <a:rPr lang="pt-pt" sz="1100" kern="0" baseline="0">
                <a:solidFill>
                  <a:schemeClr val="bg2">
                    <a:lumMod val="25000"/>
                  </a:schemeClr>
                </a:solidFill>
                <a:ea typeface="Segoe UI" pitchFamily="34" charset="0"/>
                <a:cs typeface="Segoe UI Light" panose="020B0502040204020203" pitchFamily="34" charset="0"/>
              </a:rPr>
              <a:t>premir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44</xdr:row>
      <xdr:rowOff>47623</xdr:rowOff>
    </xdr:from>
    <xdr:to>
      <xdr:col>1</xdr:col>
      <xdr:colOff>5238750</xdr:colOff>
      <xdr:row>63</xdr:row>
      <xdr:rowOff>142876</xdr:rowOff>
    </xdr:to>
    <xdr:grpSp>
      <xdr:nvGrpSpPr>
        <xdr:cNvPr id="3" name="Mais formas de filtrar dados"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9001123"/>
          <a:ext cx="5716905" cy="3714753"/>
          <a:chOff x="390525" y="8972550"/>
          <a:chExt cx="5695950" cy="3806193"/>
        </a:xfrm>
      </xdr:grpSpPr>
      <xdr:sp macro="" textlink="">
        <xdr:nvSpPr>
          <xdr:cNvPr id="133" name="Retângulo 132" descr="Fundo">
            <a:extLst>
              <a:ext uri="{FF2B5EF4-FFF2-40B4-BE49-F238E27FC236}">
                <a16:creationId xmlns:a16="http://schemas.microsoft.com/office/drawing/2014/main" id="{00000000-0008-0000-0500-000085000000}"/>
              </a:ext>
            </a:extLst>
          </xdr:cNvPr>
          <xdr:cNvSpPr/>
        </xdr:nvSpPr>
        <xdr:spPr>
          <a:xfrm>
            <a:off x="390525" y="8972550"/>
            <a:ext cx="5695950" cy="380619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Passo" descr="Mais formas de filtrar dados">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formas de filtrar dados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Conexão Reta 134" descr="Linha decorativa">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Conexão Reta 135" descr="Linha decorativa">
            <a:extLst>
              <a:ext uri="{FF2B5EF4-FFF2-40B4-BE49-F238E27FC236}">
                <a16:creationId xmlns:a16="http://schemas.microsoft.com/office/drawing/2014/main" id="{00000000-0008-0000-0500-000088000000}"/>
              </a:ext>
            </a:extLst>
          </xdr:cNvPr>
          <xdr:cNvCxnSpPr>
            <a:cxnSpLocks/>
          </xdr:cNvCxnSpPr>
        </xdr:nvCxnSpPr>
        <xdr:spPr>
          <a:xfrm>
            <a:off x="625449" y="1249158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Passo" descr="Muitas pessoas escrevem fórmulas para localizar montantes acima da média ou superiores a um determinado montante. No entanto, não é necessário escrever fórmulas quando estão disponíveis filtros especiais">
            <a:extLst>
              <a:ext uri="{FF2B5EF4-FFF2-40B4-BE49-F238E27FC236}">
                <a16:creationId xmlns:a16="http://schemas.microsoft.com/office/drawing/2014/main" id="{00000000-0008-0000-0500-000089000000}"/>
              </a:ext>
            </a:extLst>
          </xdr:cNvPr>
          <xdr:cNvSpPr txBox="1"/>
        </xdr:nvSpPr>
        <xdr:spPr>
          <a:xfrm>
            <a:off x="619125" y="9681795"/>
            <a:ext cx="5300938" cy="66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Muitas pessoas escrevem fórmulas para localizar montantes acima da média ou superiores a um determinado montante. No entanto, não é necessário escrever fórmulas quando estão disponíveis filtros especiais.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Passo"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418497"/>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célula </a:t>
            </a:r>
            <a:r>
              <a:rPr lang="pt-pt" sz="1100" b="1">
                <a:solidFill>
                  <a:schemeClr val="tx1">
                    <a:lumMod val="75000"/>
                    <a:lumOff val="25000"/>
                  </a:schemeClr>
                </a:solidFill>
                <a:latin typeface="Segoe UI" panose="020B0502040204020203" pitchFamily="34" charset="0"/>
                <a:cs typeface="Segoe UI" panose="020B0502040204020203" pitchFamily="34" charset="0"/>
              </a:rPr>
              <a:t>Hotel</a:t>
            </a:r>
            <a:r>
              <a:rPr lang="pt-pt" sz="1100">
                <a:solidFill>
                  <a:schemeClr val="tx1">
                    <a:lumMod val="75000"/>
                    <a:lumOff val="25000"/>
                  </a:schemeClr>
                </a:solidFill>
                <a:latin typeface="Segoe UI" panose="020B0502040204020203" pitchFamily="34" charset="0"/>
                <a:cs typeface="Segoe UI" panose="020B0502040204020203" pitchFamily="34" charset="0"/>
              </a:rPr>
              <a:t>, clique no botão de filtro      e, em seguida, clique em </a:t>
            </a:r>
            <a:br>
              <a:rPr lang="en-US" sz="1100">
                <a:solidFill>
                  <a:schemeClr val="tx1">
                    <a:lumMod val="75000"/>
                    <a:lumOff val="25000"/>
                  </a:schemeClr>
                </a:solidFill>
                <a:latin typeface="Segoe UI" panose="020B0502040204020203" pitchFamily="34" charset="0"/>
                <a:cs typeface="Segoe UI" panose="020B0502040204020203" pitchFamily="34" charset="0"/>
              </a:rPr>
            </a:br>
            <a:r>
              <a:rPr lang="pt-pt" sz="1100" b="1">
                <a:solidFill>
                  <a:schemeClr val="tx1">
                    <a:lumMod val="75000"/>
                    <a:lumOff val="25000"/>
                  </a:schemeClr>
                </a:solidFill>
                <a:latin typeface="Segoe UI" panose="020B0502040204020203" pitchFamily="34" charset="0"/>
                <a:cs typeface="Segoe UI" panose="020B0502040204020203" pitchFamily="34" charset="0"/>
              </a:rPr>
              <a:t>Filtros Numéricos</a:t>
            </a:r>
            <a:r>
              <a:rPr lang="pt-pt" sz="1100">
                <a:solidFill>
                  <a:schemeClr val="tx1">
                    <a:lumMod val="75000"/>
                    <a:lumOff val="25000"/>
                  </a:schemeClr>
                </a:solidFill>
                <a:latin typeface="Segoe UI" panose="020B0502040204020203" pitchFamily="34" charset="0"/>
                <a:cs typeface="Segoe UI" panose="020B0502040204020203" pitchFamily="34" charset="0"/>
              </a:rPr>
              <a:t> &gt; </a:t>
            </a:r>
            <a:r>
              <a:rPr lang="pt-pt" sz="1100" b="1">
                <a:solidFill>
                  <a:schemeClr val="tx1">
                    <a:lumMod val="75000"/>
                    <a:lumOff val="25000"/>
                  </a:schemeClr>
                </a:solidFill>
                <a:latin typeface="Segoe UI" panose="020B0502040204020203" pitchFamily="34" charset="0"/>
                <a:cs typeface="Segoe UI" panose="020B0502040204020203" pitchFamily="34" charset="0"/>
              </a:rPr>
              <a:t>Acima da Média</a:t>
            </a:r>
            <a:r>
              <a:rPr lang="pt-pt" sz="1100">
                <a:solidFill>
                  <a:schemeClr val="tx1">
                    <a:lumMod val="75000"/>
                    <a:lumOff val="25000"/>
                  </a:schemeClr>
                </a:solidFill>
                <a:latin typeface="Segoe UI" panose="020B0502040204020203" pitchFamily="34" charset="0"/>
                <a:cs typeface="Segoe UI" panose="020B0502040204020203" pitchFamily="34" charset="0"/>
              </a:rPr>
              <a:t>. O Excel calcula o montante médio da coluna Hotel e, em seguida, mostra apenas as linhas com montantes superiores à média.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3760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40" name="Passo"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288796"/>
            <a:ext cx="4809517" cy="105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Agora adicione um segundo filtro. Na célula com </a:t>
            </a:r>
            <a:r>
              <a:rPr lang="pt-PT" sz="1100" b="1">
                <a:solidFill>
                  <a:schemeClr val="tx1">
                    <a:lumMod val="75000"/>
                    <a:lumOff val="25000"/>
                  </a:schemeClr>
                </a:solidFill>
                <a:latin typeface="Segoe UI" panose="020B0502040204020203" pitchFamily="34" charset="0"/>
                <a:cs typeface="Segoe UI" panose="020B0502040204020203" pitchFamily="34" charset="0"/>
              </a:rPr>
              <a:t>Comida</a:t>
            </a:r>
            <a:r>
              <a:rPr lang="pt-pt" sz="1100">
                <a:solidFill>
                  <a:schemeClr val="tx1">
                    <a:lumMod val="75000"/>
                    <a:lumOff val="25000"/>
                  </a:schemeClr>
                </a:solidFill>
                <a:latin typeface="Segoe UI" panose="020B0502040204020203" pitchFamily="34" charset="0"/>
                <a:cs typeface="Segoe UI" panose="020B0502040204020203" pitchFamily="34" charset="0"/>
              </a:rPr>
              <a:t>, clique no botão de filtro      e, em seguida,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Filtros Numéricos </a:t>
            </a:r>
            <a:r>
              <a:rPr lang="pt-pt" sz="1100">
                <a:solidFill>
                  <a:schemeClr val="tx1">
                    <a:lumMod val="75000"/>
                    <a:lumOff val="25000"/>
                  </a:schemeClr>
                </a:solidFill>
                <a:latin typeface="Segoe UI" panose="020B0502040204020203" pitchFamily="34" charset="0"/>
                <a:cs typeface="Segoe UI" panose="020B0502040204020203" pitchFamily="34" charset="0"/>
              </a:rPr>
              <a:t>&gt; </a:t>
            </a:r>
            <a:r>
              <a:rPr lang="pt-pt" sz="1100" b="1">
                <a:solidFill>
                  <a:schemeClr val="tx1">
                    <a:lumMod val="75000"/>
                    <a:lumOff val="25000"/>
                  </a:schemeClr>
                </a:solidFill>
                <a:latin typeface="Segoe UI" panose="020B0502040204020203" pitchFamily="34" charset="0"/>
                <a:cs typeface="Segoe UI" panose="020B0502040204020203" pitchFamily="34" charset="0"/>
              </a:rPr>
              <a:t>Maior que...</a:t>
            </a:r>
            <a:r>
              <a:rPr lang="pt-pt" sz="1100">
                <a:solidFill>
                  <a:schemeClr val="tx1">
                    <a:lumMod val="75000"/>
                    <a:lumOff val="25000"/>
                  </a:schemeClr>
                </a:solidFill>
                <a:latin typeface="Segoe UI" panose="020B0502040204020203" pitchFamily="34" charset="0"/>
                <a:cs typeface="Segoe UI" panose="020B0502040204020203" pitchFamily="34" charset="0"/>
              </a:rPr>
              <a:t> e escreva </a:t>
            </a:r>
            <a:r>
              <a:rPr lang="pt-pt" sz="1100" b="1">
                <a:solidFill>
                  <a:schemeClr val="tx1">
                    <a:lumMod val="75000"/>
                    <a:lumOff val="25000"/>
                  </a:schemeClr>
                </a:solidFill>
                <a:latin typeface="Segoe UI" panose="020B0502040204020203" pitchFamily="34" charset="0"/>
                <a:cs typeface="Segoe UI" panose="020B0502040204020203" pitchFamily="34" charset="0"/>
              </a:rPr>
              <a:t>25</a:t>
            </a:r>
            <a:r>
              <a:rPr lang="pt-pt" sz="1100">
                <a:solidFill>
                  <a:schemeClr val="tx1">
                    <a:lumMod val="75000"/>
                    <a:lumOff val="25000"/>
                  </a:schemeClr>
                </a:solidFill>
                <a:latin typeface="Segoe UI" panose="020B0502040204020203" pitchFamily="34" charset="0"/>
                <a:cs typeface="Segoe UI" panose="020B0502040204020203" pitchFamily="34" charset="0"/>
              </a:rPr>
              <a:t>.</a:t>
            </a:r>
            <a:r>
              <a:rPr lang="pt-pt" sz="1100" b="1">
                <a:solidFill>
                  <a:schemeClr val="tx1">
                    <a:lumMod val="75000"/>
                    <a:lumOff val="25000"/>
                  </a:schemeClr>
                </a:solidFill>
                <a:latin typeface="Segoe UI" panose="020B0502040204020203" pitchFamily="34" charset="0"/>
                <a:cs typeface="Segoe UI" panose="020B0502040204020203" pitchFamily="34" charset="0"/>
              </a:rPr>
              <a:t> </a:t>
            </a:r>
            <a:r>
              <a:rPr lang="pt-pt" sz="1100">
                <a:solidFill>
                  <a:schemeClr val="tx1">
                    <a:lumMod val="75000"/>
                    <a:lumOff val="25000"/>
                  </a:schemeClr>
                </a:solidFill>
                <a:latin typeface="Segoe UI" panose="020B0502040204020203" pitchFamily="34" charset="0"/>
                <a:cs typeface="Segoe UI" panose="020B0502040204020203" pitchFamily="34" charset="0"/>
              </a:rPr>
              <a:t>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OK</a:t>
            </a:r>
            <a:r>
              <a:rPr lang="pt-pt" sz="1100">
                <a:solidFill>
                  <a:schemeClr val="tx1">
                    <a:lumMod val="75000"/>
                    <a:lumOff val="25000"/>
                  </a:schemeClr>
                </a:solidFill>
                <a:latin typeface="Segoe UI" panose="020B0502040204020203" pitchFamily="34" charset="0"/>
                <a:cs typeface="Segoe UI" panose="020B0502040204020203" pitchFamily="34" charset="0"/>
              </a:rPr>
              <a:t>.</a:t>
            </a:r>
            <a:r>
              <a:rPr lang="en-US"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a:solidFill>
                  <a:schemeClr val="tx1">
                    <a:lumMod val="75000"/>
                    <a:lumOff val="25000"/>
                  </a:schemeClr>
                </a:solidFill>
                <a:latin typeface="Segoe UI" panose="020B0502040204020203" pitchFamily="34" charset="0"/>
                <a:cs typeface="Segoe UI" panose="020B0502040204020203" pitchFamily="34" charset="0"/>
              </a:rPr>
              <a:t>Para as três linhas filtradas que se encontram acima da média, o Excel mostra duas linhas com montantes gastos em Comida superiores a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13243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pic>
        <xdr:nvPicPr>
          <xdr:cNvPr id="131" name="Imagem 130" descr="Botão de filtro">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691101" y="10492942"/>
            <a:ext cx="140102" cy="138072"/>
          </a:xfrm>
          <a:prstGeom prst="rect">
            <a:avLst/>
          </a:prstGeom>
        </xdr:spPr>
      </xdr:pic>
      <xdr:pic>
        <xdr:nvPicPr>
          <xdr:cNvPr id="132" name="Imagem 131" descr="Botão de filtro">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1648003" y="11557081"/>
            <a:ext cx="140102" cy="138072"/>
          </a:xfrm>
          <a:prstGeom prst="rect">
            <a:avLst/>
          </a:prstGeom>
        </xdr:spPr>
      </xdr:pic>
    </xdr:grpSp>
    <xdr:clientData/>
  </xdr:twoCellAnchor>
  <xdr:twoCellAnchor editAs="absolute">
    <xdr:from>
      <xdr:col>0</xdr:col>
      <xdr:colOff>389826</xdr:colOff>
      <xdr:row>65</xdr:row>
      <xdr:rowOff>3</xdr:rowOff>
    </xdr:from>
    <xdr:to>
      <xdr:col>1</xdr:col>
      <xdr:colOff>5238051</xdr:colOff>
      <xdr:row>80</xdr:row>
      <xdr:rowOff>157127</xdr:rowOff>
    </xdr:to>
    <xdr:grpSp>
      <xdr:nvGrpSpPr>
        <xdr:cNvPr id="2" name="Mais Informações na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2954003"/>
          <a:ext cx="5716905" cy="3014624"/>
          <a:chOff x="389826" y="12298063"/>
          <a:chExt cx="5695950" cy="2860936"/>
        </a:xfrm>
      </xdr:grpSpPr>
      <xdr:sp macro="" textlink="">
        <xdr:nvSpPr>
          <xdr:cNvPr id="143" name="Retângulo 142" descr="Fundo">
            <a:extLst>
              <a:ext uri="{FF2B5EF4-FFF2-40B4-BE49-F238E27FC236}">
                <a16:creationId xmlns:a16="http://schemas.microsoft.com/office/drawing/2014/main" id="{00000000-0008-0000-0500-00008F000000}"/>
              </a:ext>
            </a:extLst>
          </xdr:cNvPr>
          <xdr:cNvSpPr/>
        </xdr:nvSpPr>
        <xdr:spPr>
          <a:xfrm>
            <a:off x="389826" y="12298063"/>
            <a:ext cx="5695950" cy="286093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4" name="Passo" descr="Mais informações na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Conexão Reta 144" descr="Linha decorativa">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Botão Seguinte" descr="Voltar ao início, com hiperligação para a célula A1">
            <a:hlinkClick xmlns:r="http://schemas.openxmlformats.org/officeDocument/2006/relationships" r:id="rId8" tooltip="Selecione para voltar à célula A1 nesta folha de cálculo"/>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47" name="Conexão Reta 146" descr="Linha decorativa">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Botão Passo seguinte, com hiperligação para a folha seguinte">
            <a:hlinkClick xmlns:r="http://schemas.openxmlformats.org/officeDocument/2006/relationships" r:id="rId4" tooltip="Selecione para ir para o passo seguinte"/>
            <a:extLst>
              <a:ext uri="{FF2B5EF4-FFF2-40B4-BE49-F238E27FC236}">
                <a16:creationId xmlns:a16="http://schemas.microsoft.com/office/drawing/2014/main" id="{00000000-0008-0000-0500-000094000000}"/>
              </a:ext>
            </a:extLst>
          </xdr:cNvPr>
          <xdr:cNvSpPr/>
        </xdr:nvSpPr>
        <xdr:spPr>
          <a:xfrm>
            <a:off x="4457700" y="1457321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49" name="Passo" descr="Ordenar dados num intervalo ou tabela, com hiperligação para a Web">
            <a:hlinkClick xmlns:r="http://schemas.openxmlformats.org/officeDocument/2006/relationships" r:id="rId9" tooltip="Selecione para aceder à Web e saber como ordenar dados num intervalo ou tabela"/>
            <a:extLst>
              <a:ext uri="{FF2B5EF4-FFF2-40B4-BE49-F238E27FC236}">
                <a16:creationId xmlns:a16="http://schemas.microsoft.com/office/drawing/2014/main" id="{00000000-0008-0000-0500-000095000000}"/>
              </a:ext>
            </a:extLst>
          </xdr:cNvPr>
          <xdr:cNvSpPr txBox="1"/>
        </xdr:nvSpPr>
        <xdr:spPr>
          <a:xfrm>
            <a:off x="1028608" y="13147147"/>
            <a:ext cx="379104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dados num intervalo ou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numa</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a:t>
            </a:r>
          </a:p>
        </xdr:txBody>
      </xdr:sp>
      <xdr:pic>
        <xdr:nvPicPr>
          <xdr:cNvPr id="150"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Passo" descr="Filtrar dados num intervalo ou tabela, com hiperligação para a Web">
            <a:hlinkClick xmlns:r="http://schemas.openxmlformats.org/officeDocument/2006/relationships" r:id="rId12" tooltip="Selecione para aceder à Web e saber como filtrar dados num intervalo ou tabela"/>
            <a:extLst>
              <a:ext uri="{FF2B5EF4-FFF2-40B4-BE49-F238E27FC236}">
                <a16:creationId xmlns:a16="http://schemas.microsoft.com/office/drawing/2014/main" id="{00000000-0008-0000-0500-000097000000}"/>
              </a:ext>
            </a:extLst>
          </xdr:cNvPr>
          <xdr:cNvSpPr txBox="1"/>
        </xdr:nvSpPr>
        <xdr:spPr>
          <a:xfrm>
            <a:off x="1028609" y="13611754"/>
            <a:ext cx="362911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Filtrar dados num intervalo ou numa tabela</a:t>
            </a:r>
          </a:p>
        </xdr:txBody>
      </xdr:sp>
      <xdr:pic>
        <xdr:nvPicPr>
          <xdr:cNvPr id="152"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twoCellAnchor>
    <xdr:from>
      <xdr:col>1</xdr:col>
      <xdr:colOff>1895475</xdr:colOff>
      <xdr:row>17</xdr:row>
      <xdr:rowOff>0</xdr:rowOff>
    </xdr:from>
    <xdr:to>
      <xdr:col>1</xdr:col>
      <xdr:colOff>2033547</xdr:colOff>
      <xdr:row>17</xdr:row>
      <xdr:rowOff>138072</xdr:rowOff>
    </xdr:to>
    <xdr:pic>
      <xdr:nvPicPr>
        <xdr:cNvPr id="60" name="Imagem 94">
          <a:extLst>
            <a:ext uri="{FF2B5EF4-FFF2-40B4-BE49-F238E27FC236}">
              <a16:creationId xmlns:a16="http://schemas.microsoft.com/office/drawing/2014/main" id="{8D631870-C0BE-4FAC-BE26-94069F0E166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743200" y="3810000"/>
          <a:ext cx="138072" cy="1380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23</xdr:row>
      <xdr:rowOff>85725</xdr:rowOff>
    </xdr:to>
    <xdr:grpSp>
      <xdr:nvGrpSpPr>
        <xdr:cNvPr id="8" name="As tabelas tornam tudo muito mais fácil"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16905" cy="4772025"/>
          <a:chOff x="333375" y="266700"/>
          <a:chExt cx="5695950" cy="4772025"/>
        </a:xfrm>
      </xdr:grpSpPr>
      <xdr:sp macro="" textlink="">
        <xdr:nvSpPr>
          <xdr:cNvPr id="95" name="Retângulo 94" descr="Fundo">
            <a:extLst>
              <a:ext uri="{FF2B5EF4-FFF2-40B4-BE49-F238E27FC236}">
                <a16:creationId xmlns:a16="http://schemas.microsoft.com/office/drawing/2014/main" id="{00000000-0008-0000-0600-00005F000000}"/>
              </a:ext>
            </a:extLst>
          </xdr:cNvPr>
          <xdr:cNvSpPr/>
        </xdr:nvSpPr>
        <xdr:spPr>
          <a:xfrm>
            <a:off x="333375" y="266700"/>
            <a:ext cx="5695950" cy="47720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6" name="Passo" descr="As tabelas tornam tudo muito mais fácil">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As tabelas tornam tudo muito mais fácil</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Conexão Reta 96" descr="Linha decorativa">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Botão Seguinte" descr="Desça para ver mais detalhes">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3473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99" name="Conexão Reta 98" descr="Linha decorativa">
            <a:extLst>
              <a:ext uri="{FF2B5EF4-FFF2-40B4-BE49-F238E27FC236}">
                <a16:creationId xmlns:a16="http://schemas.microsoft.com/office/drawing/2014/main" id="{00000000-0008-0000-0600-000063000000}"/>
              </a:ext>
            </a:extLst>
          </xdr:cNvPr>
          <xdr:cNvCxnSpPr>
            <a:cxnSpLocks/>
          </xdr:cNvCxnSpPr>
        </xdr:nvCxnSpPr>
        <xdr:spPr>
          <a:xfrm>
            <a:off x="568299" y="4105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600-000064000000}"/>
              </a:ext>
            </a:extLst>
          </xdr:cNvPr>
          <xdr:cNvSpPr/>
        </xdr:nvSpPr>
        <xdr:spPr>
          <a:xfrm>
            <a:off x="4400550" y="434733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01" name="Passo" descr="Uma tabela dá-lhe funcionalidades especiais e outras vantagens. Eis como criar uma:">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Uma tabela dá-lhe funcionalidades especiais e outras vantagens. Eis como criar uma:</a:t>
            </a:r>
          </a:p>
        </xdr:txBody>
      </xdr:sp>
      <xdr:sp macro="" textlink="">
        <xdr:nvSpPr>
          <xdr:cNvPr id="102" name="Passo" descr="Clique nos dados à direita e, em seguida, clique em Inserir &gt; Tabela &gt; OK">
            <a:extLst>
              <a:ext uri="{FF2B5EF4-FFF2-40B4-BE49-F238E27FC236}">
                <a16:creationId xmlns:a16="http://schemas.microsoft.com/office/drawing/2014/main" id="{00000000-0008-0000-0600-000066000000}"/>
              </a:ext>
            </a:extLst>
          </xdr:cNvPr>
          <xdr:cNvSpPr txBox="1"/>
        </xdr:nvSpPr>
        <xdr:spPr>
          <a:xfrm>
            <a:off x="972158" y="1283959"/>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nos dados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à direita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04" name="Passo" descr="Agora tem uma tabela, que consiste numa coleção de células com funcionalidades especiais. Para começar: uma tabela dá-lhe linhas listadas para uma leitura mais fácil">
            <a:extLst>
              <a:ext uri="{FF2B5EF4-FFF2-40B4-BE49-F238E27FC236}">
                <a16:creationId xmlns:a16="http://schemas.microsoft.com/office/drawing/2014/main" id="{00000000-0008-0000-0600-000068000000}"/>
              </a:ext>
            </a:extLst>
          </xdr:cNvPr>
          <xdr:cNvSpPr txBox="1"/>
        </xdr:nvSpPr>
        <xdr:spPr>
          <a:xfrm>
            <a:off x="972157" y="1666105"/>
            <a:ext cx="4809517" cy="68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tem uma tabela, que consiste numa coleção de células com funcionalidades especiais. Para começar: uma tabela apresenta linhas listadas para uma leitura mais fácil.</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093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06"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00000000-0008-0000-0600-00006A000000}"/>
              </a:ext>
            </a:extLst>
          </xdr:cNvPr>
          <xdr:cNvSpPr txBox="1"/>
        </xdr:nvSpPr>
        <xdr:spPr>
          <a:xfrm>
            <a:off x="972158" y="2274996"/>
            <a:ext cx="4809516" cy="658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pode criar novas linhas facilmente. Na célula vazia abaixo de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escreva algum texto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prima Enter.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É apresentada uma nova linha para a tabela.</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896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08" name="Passo"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897569"/>
            <a:ext cx="4809516" cy="636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é possível criar colunas facilmente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 canto inferior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direito da tabela, clique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alça de redimensionamento    e arraste-a 2 colunas para a direita.</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8836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10" name="Passo" descr="Repare como as duas colunas são criadas, formatadas, e o texto Jan e Fev é preenchido automaticamente">
            <a:extLst>
              <a:ext uri="{FF2B5EF4-FFF2-40B4-BE49-F238E27FC236}">
                <a16:creationId xmlns:a16="http://schemas.microsoft.com/office/drawing/2014/main" id="{00000000-0008-0000-0600-00006E000000}"/>
              </a:ext>
            </a:extLst>
          </xdr:cNvPr>
          <xdr:cNvSpPr txBox="1"/>
        </xdr:nvSpPr>
        <xdr:spPr>
          <a:xfrm>
            <a:off x="972158" y="351973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Repare como as duas colunas são criadas, formatadas, e o texto Jan e Fev é preenchido automaticamente.</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5439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pic>
        <xdr:nvPicPr>
          <xdr:cNvPr id="113" name="Imagem 112" descr="Alça de redimensionamento">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3854902" y="32209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olunas calculadas em tabela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716905" cy="3632199"/>
          <a:chOff x="390525" y="5943600"/>
          <a:chExt cx="5695950" cy="3632199"/>
        </a:xfrm>
      </xdr:grpSpPr>
      <xdr:sp macro="" textlink="">
        <xdr:nvSpPr>
          <xdr:cNvPr id="119" name="Retângulo 118" descr="Fundo">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0" name="Passo" descr="Colunas calculadas em tabela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Colunas calculadas em tabelas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xão Reta 120" descr="Linha decorativa">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Conexão Reta 121" descr="Linha decorativa">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 exemplo de uma vantagem</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tabelas: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olunas calculadas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Quando escreve uma fórmula, ela é preenchida automaticamente para baixo. Eis como funciona:</a:t>
            </a:r>
          </a:p>
        </xdr:txBody>
      </xdr:sp>
      <xdr:sp macro="" textlink="">
        <xdr:nvSpPr>
          <xdr:cNvPr id="124" name="Passo" descr="Selecione a célula abaixo de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Selecione a célula abaixo de </a:t>
            </a:r>
            <a:r>
              <a:rPr lang="pt-pt" sz="1100" b="1">
                <a:latin typeface="Segoe UI" panose="020B0502040204020203" pitchFamily="34" charset="0"/>
                <a:cs typeface="Segoe UI" panose="020B0502040204020203" pitchFamily="34" charset="0"/>
              </a:rPr>
              <a:t>Total</a:t>
            </a:r>
            <a:r>
              <a:rPr lang="pt-pt"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26" name="Passo" descr="Prima Enter">
            <a:extLst>
              <a:ext uri="{FF2B5EF4-FFF2-40B4-BE49-F238E27FC236}">
                <a16:creationId xmlns:a16="http://schemas.microsoft.com/office/drawing/2014/main" id="{00000000-0008-0000-0600-00007E000000}"/>
              </a:ext>
            </a:extLst>
          </xdr:cNvPr>
          <xdr:cNvSpPr txBox="1"/>
        </xdr:nvSpPr>
        <xdr:spPr>
          <a:xfrm>
            <a:off x="1029307" y="8302010"/>
            <a:ext cx="4809517" cy="45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Prima</a:t>
            </a:r>
          </a:p>
          <a:p>
            <a:pPr rtl="0"/>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28" name="Passo" descr="A fórmula SOMA é preenchida para baixo automaticamente, para que não tenha de o fazer">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A fórmula SOMA é preenchida para baixo para que não tenha de o fazer.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30" name="Passo" descr="Prima Alt e o sinal de Igual">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Prima</a:t>
            </a:r>
          </a:p>
          <a:p>
            <a:pPr rtl="0"/>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16" name="Retângulo: Cantos Arredondados 115" descr="Tecla Enter">
            <a:extLst>
              <a:ext uri="{FF2B5EF4-FFF2-40B4-BE49-F238E27FC236}">
                <a16:creationId xmlns:a16="http://schemas.microsoft.com/office/drawing/2014/main" id="{00000000-0008-0000-0600-000074000000}"/>
              </a:ext>
            </a:extLst>
          </xdr:cNvPr>
          <xdr:cNvSpPr/>
        </xdr:nvSpPr>
        <xdr:spPr>
          <a:xfrm>
            <a:off x="1557404" y="832440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tângulo: Cantos Arredondados 116" descr="Tecla Alt">
            <a:extLst>
              <a:ext uri="{FF2B5EF4-FFF2-40B4-BE49-F238E27FC236}">
                <a16:creationId xmlns:a16="http://schemas.microsoft.com/office/drawing/2014/main" id="{00000000-0008-0000-0600-000075000000}"/>
              </a:ext>
            </a:extLst>
          </xdr:cNvPr>
          <xdr:cNvSpPr/>
        </xdr:nvSpPr>
        <xdr:spPr>
          <a:xfrm>
            <a:off x="1538354"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tângulo: cantos Arredondados 117" descr="Tecla Sinal de Igual">
            <a:extLst>
              <a:ext uri="{FF2B5EF4-FFF2-40B4-BE49-F238E27FC236}">
                <a16:creationId xmlns:a16="http://schemas.microsoft.com/office/drawing/2014/main" id="{00000000-0008-0000-0600-000076000000}"/>
              </a:ext>
            </a:extLst>
          </xdr:cNvPr>
          <xdr:cNvSpPr/>
        </xdr:nvSpPr>
        <xdr:spPr>
          <a:xfrm>
            <a:off x="2082756"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upo 9" descr="INFORMAÇÕES ÚTEIS&#10;Existe um atalho para mostrar e ocultar a linha de total. Clique dentro da tabela e, em seguida, prima Ctrl+Shift+T.&#10;">
          <a:extLst>
            <a:ext uri="{FF2B5EF4-FFF2-40B4-BE49-F238E27FC236}">
              <a16:creationId xmlns:a16="http://schemas.microsoft.com/office/drawing/2014/main" id="{BFEA1FE4-89AC-4625-8F8A-07828BBC6514}"/>
            </a:ext>
          </a:extLst>
        </xdr:cNvPr>
        <xdr:cNvGrpSpPr/>
      </xdr:nvGrpSpPr>
      <xdr:grpSpPr>
        <a:xfrm>
          <a:off x="9818370" y="11515725"/>
          <a:ext cx="2225040" cy="1276350"/>
          <a:chOff x="8753475" y="11934825"/>
          <a:chExt cx="2162175" cy="1276350"/>
        </a:xfrm>
      </xdr:grpSpPr>
      <xdr:sp macro="" textlink="">
        <xdr:nvSpPr>
          <xdr:cNvPr id="132" name="Passo" descr="INFORMAÇÕES ÚTEIS&#10;Existe um atalho para mostrar e ocultar a linha de total. Clique dentro da tabela e, em seguida, prima Ctrl+Shift+T.&#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Existe um atalho para mostrar e ocultar a linha de total. Clique dentro da tabela e, em seguida, prima </a:t>
            </a:r>
            <a:r>
              <a:rPr lang="pt-pt" sz="1100" kern="0" baseline="0">
                <a:solidFill>
                  <a:schemeClr val="bg2">
                    <a:lumMod val="25000"/>
                  </a:schemeClr>
                </a:solidFill>
                <a:ea typeface="Segoe UI" pitchFamily="34" charset="0"/>
                <a:cs typeface="Segoe UI Light" panose="020B0502040204020203" pitchFamily="34" charset="0"/>
              </a:rPr>
              <a:t>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áfico 147" descr="Óculo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438148</xdr:colOff>
      <xdr:row>15</xdr:row>
      <xdr:rowOff>114298</xdr:rowOff>
    </xdr:from>
    <xdr:to>
      <xdr:col>7</xdr:col>
      <xdr:colOff>514348</xdr:colOff>
      <xdr:row>22</xdr:row>
      <xdr:rowOff>95249</xdr:rowOff>
    </xdr:to>
    <xdr:grpSp>
      <xdr:nvGrpSpPr>
        <xdr:cNvPr id="9" name="Grupo 8" descr="PONTOS EXTRA&#10;Experimente alterar o estilo da tabela. Primeiro clique dentro da tabela e o separador Estrutura das Ferramentas de Tabela será apresentado na parte superior do Excel. Clique nesse separador e, em seguida, selecione o estilo que pretende.&#10;">
          <a:extLst>
            <a:ext uri="{FF2B5EF4-FFF2-40B4-BE49-F238E27FC236}">
              <a16:creationId xmlns:a16="http://schemas.microsoft.com/office/drawing/2014/main" id="{C3D35DA7-926B-43B9-BEF0-4CF9BDBC13F3}"/>
            </a:ext>
          </a:extLst>
        </xdr:cNvPr>
        <xdr:cNvGrpSpPr/>
      </xdr:nvGrpSpPr>
      <xdr:grpSpPr>
        <a:xfrm>
          <a:off x="8294368" y="3543298"/>
          <a:ext cx="3147060" cy="1314451"/>
          <a:chOff x="7723405" y="3790949"/>
          <a:chExt cx="2585799" cy="1457105"/>
        </a:xfrm>
      </xdr:grpSpPr>
      <xdr:sp macro="" textlink="">
        <xdr:nvSpPr>
          <xdr:cNvPr id="136" name="Passo" descr="PONTOS EXTRA&#10;Experimente alterar o estilo da tabela. Primeiro clique dentro da tabela e o separador Estrutura das Ferramentas de Tabela será apresentado na parte superior do Excel. Clique nesse separador e, em seguida, selecione o estilo que pretende.&#10;">
            <a:extLst>
              <a:ext uri="{FF2B5EF4-FFF2-40B4-BE49-F238E27FC236}">
                <a16:creationId xmlns:a16="http://schemas.microsoft.com/office/drawing/2014/main" id="{00000000-0008-0000-0600-000088000000}"/>
              </a:ext>
            </a:extLst>
          </xdr:cNvPr>
          <xdr:cNvSpPr txBox="1"/>
        </xdr:nvSpPr>
        <xdr:spPr>
          <a:xfrm>
            <a:off x="8008155" y="3790949"/>
            <a:ext cx="2301049" cy="1457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Experimente alterar o estilo da tabela. Primeiro clique dentro da </a:t>
            </a:r>
            <a:r>
              <a:rPr lang="pt-pt" sz="1100" b="0" kern="0">
                <a:solidFill>
                  <a:schemeClr val="bg2">
                    <a:lumMod val="25000"/>
                  </a:schemeClr>
                </a:solidFill>
                <a:ea typeface="Segoe UI" pitchFamily="34" charset="0"/>
                <a:cs typeface="Segoe UI Light" panose="020B0502040204020203" pitchFamily="34" charset="0"/>
              </a:rPr>
              <a:t>tabela</a:t>
            </a:r>
            <a:r>
              <a:rPr lang="pt-pt" sz="1100" b="0" kern="0" baseline="0">
                <a:solidFill>
                  <a:schemeClr val="bg2">
                    <a:lumMod val="25000"/>
                  </a:schemeClr>
                </a:solidFill>
                <a:ea typeface="Segoe UI" pitchFamily="34" charset="0"/>
                <a:cs typeface="Segoe UI Light" panose="020B0502040204020203" pitchFamily="34" charset="0"/>
              </a:rPr>
              <a:t> e o separador</a:t>
            </a:r>
            <a:r>
              <a:rPr lang="pt-pt" sz="1100" b="1" kern="0" baseline="0">
                <a:solidFill>
                  <a:schemeClr val="bg2">
                    <a:lumMod val="25000"/>
                  </a:schemeClr>
                </a:solidFill>
                <a:ea typeface="Segoe UI" pitchFamily="34" charset="0"/>
                <a:cs typeface="Segoe UI Light" panose="020B0502040204020203" pitchFamily="34" charset="0"/>
              </a:rPr>
              <a:t> Estrutura das Ferramentas de Tabela</a:t>
            </a:r>
            <a:r>
              <a:rPr lang="pt-pt" sz="1100" kern="0" baseline="0">
                <a:solidFill>
                  <a:schemeClr val="bg2">
                    <a:lumMod val="25000"/>
                  </a:schemeClr>
                </a:solidFill>
                <a:ea typeface="Segoe UI" pitchFamily="34" charset="0"/>
                <a:cs typeface="Segoe UI Light" panose="020B0502040204020203" pitchFamily="34" charset="0"/>
              </a:rPr>
              <a:t> será apresentado na parte superior do Excel. Clique nesse separador e, em seguida, selecione o estilo que pretende.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áfico 263" descr="Friso">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723405" y="3845776"/>
            <a:ext cx="396886" cy="430876"/>
          </a:xfrm>
          <a:prstGeom prst="rect">
            <a:avLst/>
          </a:prstGeom>
        </xdr:spPr>
      </xdr:pic>
    </xdr:grpSp>
    <xdr:clientData/>
  </xdr:twoCellAnchor>
  <xdr:twoCellAnchor editAs="oneCell">
    <xdr:from>
      <xdr:col>2</xdr:col>
      <xdr:colOff>428625</xdr:colOff>
      <xdr:row>41</xdr:row>
      <xdr:rowOff>104775</xdr:rowOff>
    </xdr:from>
    <xdr:to>
      <xdr:col>7</xdr:col>
      <xdr:colOff>180975</xdr:colOff>
      <xdr:row>46</xdr:row>
      <xdr:rowOff>100377</xdr:rowOff>
    </xdr:to>
    <xdr:grpSp>
      <xdr:nvGrpSpPr>
        <xdr:cNvPr id="4" name="EXPERIMENTE" descr="EXPERIMENTE: Depois de colocar a coluna calculada, experimente escrever numa das células na coluna. O que acontece? Se vir um triângulo verde, clique no mesmo e, em seguida, clique no ponto de exclamação. Verá que o Excel toma conta de si...">
          <a:extLst>
            <a:ext uri="{FF2B5EF4-FFF2-40B4-BE49-F238E27FC236}">
              <a16:creationId xmlns:a16="http://schemas.microsoft.com/office/drawing/2014/main" id="{00000000-0008-0000-0600-000004000000}"/>
            </a:ext>
          </a:extLst>
        </xdr:cNvPr>
        <xdr:cNvGrpSpPr/>
      </xdr:nvGrpSpPr>
      <xdr:grpSpPr>
        <a:xfrm>
          <a:off x="6981825" y="8486775"/>
          <a:ext cx="4126230" cy="948102"/>
          <a:chOff x="6800850" y="8905875"/>
          <a:chExt cx="4000500" cy="948102"/>
        </a:xfrm>
      </xdr:grpSpPr>
      <xdr:pic>
        <xdr:nvPicPr>
          <xdr:cNvPr id="138" name="Gráfico 96" descr="Gobelé">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Passo"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Depois</a:t>
            </a:r>
            <a:r>
              <a:rPr lang="pt-pt" sz="1100" kern="0" baseline="0">
                <a:solidFill>
                  <a:schemeClr val="bg2">
                    <a:lumMod val="25000"/>
                  </a:schemeClr>
                </a:solidFill>
                <a:ea typeface="Segoe UI" pitchFamily="34" charset="0"/>
                <a:cs typeface="Segoe UI Light" panose="020B0502040204020203" pitchFamily="34" charset="0"/>
              </a:rPr>
              <a:t> de colocar a coluna calculada, experimente escrever numa das células na coluna. O que acontece? Se vir um triângulo verde, clique no mesmo e, em seguida, clique no ponto de exclamação. Verá que o Excel toma conta de si...</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Linhas de total em tabela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716905" cy="4619625"/>
          <a:chOff x="390525" y="9801226"/>
          <a:chExt cx="5695950" cy="4591050"/>
        </a:xfrm>
      </xdr:grpSpPr>
      <xdr:sp macro="" textlink="">
        <xdr:nvSpPr>
          <xdr:cNvPr id="141" name="Retângulo 140" descr="Fundo">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Passo" descr="Linhas de total em tabela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Linhas de total em tabelas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Passo" descr="Outra vantagem das tabelas são as linhas de total. Em vez de escrever uma fórmula SOMA, o Excel pode obter esse total por si rapidamente. O mesmo acontece com a fórmula MÉDIA e muitas outras. Eis como funciona:">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Outra vantagem das tabelas são as</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linhas de total</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vez de escrever uma fórmula SOMA, o Excel pode obter esse total por si rapidamente. O mesmo acontece com a fórmula MÉDIA e muitas outras. Eis como funciona:</a:t>
            </a:r>
          </a:p>
        </xdr:txBody>
      </xdr:sp>
      <xdr:sp macro="" textlink="">
        <xdr:nvSpPr>
          <xdr:cNvPr id="145" name="Passo" descr="Selecione uma célula da tabela à direita">
            <a:extLst>
              <a:ext uri="{FF2B5EF4-FFF2-40B4-BE49-F238E27FC236}">
                <a16:creationId xmlns:a16="http://schemas.microsoft.com/office/drawing/2014/main" id="{00000000-0008-0000-0600-000091000000}"/>
              </a:ext>
            </a:extLst>
          </xdr:cNvPr>
          <xdr:cNvSpPr txBox="1"/>
        </xdr:nvSpPr>
        <xdr:spPr>
          <a:xfrm>
            <a:off x="1029308" y="1121267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Selecione uma célula da tabela à direita.</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701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47" name="Passo" descr="No separador, clique em Linha Total">
            <a:extLst>
              <a:ext uri="{FF2B5EF4-FFF2-40B4-BE49-F238E27FC236}">
                <a16:creationId xmlns:a16="http://schemas.microsoft.com/office/drawing/2014/main" id="{00000000-0008-0000-0600-000093000000}"/>
              </a:ext>
            </a:extLst>
          </xdr:cNvPr>
          <xdr:cNvSpPr txBox="1"/>
        </xdr:nvSpPr>
        <xdr:spPr>
          <a:xfrm>
            <a:off x="1029307" y="12105784"/>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No separador,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Linha Total</a:t>
            </a:r>
            <a:r>
              <a:rPr lang="pt-pt"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49" name="Passo" descr="O total de 24 000 € é adicionado à parte inferior da tabela">
            <a:extLst>
              <a:ext uri="{FF2B5EF4-FFF2-40B4-BE49-F238E27FC236}">
                <a16:creationId xmlns:a16="http://schemas.microsoft.com/office/drawing/2014/main" id="{00000000-0008-0000-0600-000095000000}"/>
              </a:ext>
            </a:extLst>
          </xdr:cNvPr>
          <xdr:cNvSpPr txBox="1"/>
        </xdr:nvSpPr>
        <xdr:spPr>
          <a:xfrm>
            <a:off x="1029307" y="12588550"/>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O total de </a:t>
            </a:r>
            <a:r>
              <a:rPr lang="pt-pt" sz="1100" b="1">
                <a:solidFill>
                  <a:schemeClr val="tx1">
                    <a:lumMod val="75000"/>
                    <a:lumOff val="25000"/>
                  </a:schemeClr>
                </a:solidFill>
                <a:latin typeface="Segoe UI" panose="020B0502040204020203" pitchFamily="34" charset="0"/>
                <a:cs typeface="Segoe UI" panose="020B0502040204020203" pitchFamily="34" charset="0"/>
              </a:rPr>
              <a:t>24 000 €</a:t>
            </a:r>
            <a:r>
              <a:rPr lang="pt-pt" sz="1100">
                <a:solidFill>
                  <a:schemeClr val="tx1">
                    <a:lumMod val="75000"/>
                    <a:lumOff val="25000"/>
                  </a:schemeClr>
                </a:solidFill>
                <a:latin typeface="Segoe UI" panose="020B0502040204020203" pitchFamily="34" charset="0"/>
                <a:cs typeface="Segoe UI" panose="020B0502040204020203" pitchFamily="34" charset="0"/>
              </a:rPr>
              <a:t> é adicionado à parte inferior da tabela.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51" name="Passo" descr="Na parte superior da janela do Excel, o separador Estrutura das Ferramentas de Tabela irá aparecer">
            <a:extLst>
              <a:ext uri="{FF2B5EF4-FFF2-40B4-BE49-F238E27FC236}">
                <a16:creationId xmlns:a16="http://schemas.microsoft.com/office/drawing/2014/main" id="{00000000-0008-0000-0600-000097000000}"/>
              </a:ext>
            </a:extLst>
          </xdr:cNvPr>
          <xdr:cNvSpPr txBox="1"/>
        </xdr:nvSpPr>
        <xdr:spPr>
          <a:xfrm>
            <a:off x="1029307" y="11609114"/>
            <a:ext cx="4809517" cy="48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parte superior da janela do Excel, o separador </a:t>
            </a:r>
            <a:r>
              <a:rPr lang="pt-pt" sz="1100" b="1">
                <a:solidFill>
                  <a:schemeClr val="tx1">
                    <a:lumMod val="75000"/>
                    <a:lumOff val="25000"/>
                  </a:schemeClr>
                </a:solidFill>
                <a:latin typeface="Segoe UI" panose="020B0502040204020203" pitchFamily="34" charset="0"/>
                <a:cs typeface="Segoe UI" panose="020B0502040204020203" pitchFamily="34" charset="0"/>
              </a:rPr>
              <a:t>Estrutura das Ferramentas de Tabela </a:t>
            </a:r>
            <a:r>
              <a:rPr lang="pt-pt" sz="1100">
                <a:solidFill>
                  <a:schemeClr val="tx1">
                    <a:lumMod val="75000"/>
                    <a:lumOff val="25000"/>
                  </a:schemeClr>
                </a:solidFill>
                <a:latin typeface="Segoe UI" panose="020B0502040204020203" pitchFamily="34" charset="0"/>
                <a:cs typeface="Segoe UI" panose="020B0502040204020203" pitchFamily="34" charset="0"/>
              </a:rPr>
              <a:t>irá aparecer. </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3287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53" name="Passo" descr="E se quiser saber a média? Clique na célula com 24 000 €">
            <a:extLst>
              <a:ext uri="{FF2B5EF4-FFF2-40B4-BE49-F238E27FC236}">
                <a16:creationId xmlns:a16="http://schemas.microsoft.com/office/drawing/2014/main" id="{00000000-0008-0000-0600-000099000000}"/>
              </a:ext>
            </a:extLst>
          </xdr:cNvPr>
          <xdr:cNvSpPr txBox="1"/>
        </xdr:nvSpPr>
        <xdr:spPr>
          <a:xfrm>
            <a:off x="1029307" y="13076781"/>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E se quiser saber a média? Clique na célula com </a:t>
            </a:r>
            <a:r>
              <a:rPr lang="pt-pt" sz="1100" b="1">
                <a:solidFill>
                  <a:schemeClr val="tx1">
                    <a:lumMod val="75000"/>
                    <a:lumOff val="25000"/>
                  </a:schemeClr>
                </a:solidFill>
                <a:latin typeface="Segoe UI" panose="020B0502040204020203" pitchFamily="34" charset="0"/>
                <a:cs typeface="Segoe UI" panose="020B0502040204020203" pitchFamily="34" charset="0"/>
              </a:rPr>
              <a:t>24 000 €</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4374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55" name="Passo" descr="Clique na Seta Para Baixo e, em seguida, clique em Média. O montante médio de 3 000 € é apresentado">
            <a:extLst>
              <a:ext uri="{FF2B5EF4-FFF2-40B4-BE49-F238E27FC236}">
                <a16:creationId xmlns:a16="http://schemas.microsoft.com/office/drawing/2014/main" id="{00000000-0008-0000-0600-00009B000000}"/>
              </a:ext>
            </a:extLst>
          </xdr:cNvPr>
          <xdr:cNvSpPr txBox="1"/>
        </xdr:nvSpPr>
        <xdr:spPr>
          <a:xfrm>
            <a:off x="1029307" y="1353971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na Seta Para Baixo </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b="0">
                <a:solidFill>
                  <a:schemeClr val="tx1">
                    <a:lumMod val="75000"/>
                    <a:lumOff val="25000"/>
                  </a:schemeClr>
                </a:solidFill>
                <a:latin typeface="Segoe UI" panose="020B0502040204020203" pitchFamily="34" charset="0"/>
                <a:cs typeface="Segoe UI" panose="020B0502040204020203" pitchFamily="34" charset="0"/>
              </a:rPr>
              <a:t>e, em seguida,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Média</a:t>
            </a:r>
            <a:r>
              <a:rPr lang="pt-pt" sz="1100">
                <a:solidFill>
                  <a:schemeClr val="tx1">
                    <a:lumMod val="75000"/>
                    <a:lumOff val="25000"/>
                  </a:schemeClr>
                </a:solidFill>
                <a:latin typeface="Segoe UI" panose="020B0502040204020203" pitchFamily="34" charset="0"/>
                <a:cs typeface="Segoe UI" panose="020B0502040204020203" pitchFamily="34" charset="0"/>
              </a:rPr>
              <a:t>. O montante médio de </a:t>
            </a:r>
            <a:r>
              <a:rPr lang="pt-pt" sz="1100" b="1">
                <a:solidFill>
                  <a:schemeClr val="tx1">
                    <a:lumMod val="75000"/>
                    <a:lumOff val="25000"/>
                  </a:schemeClr>
                </a:solidFill>
                <a:latin typeface="Segoe UI" panose="020B0502040204020203" pitchFamily="34" charset="0"/>
                <a:cs typeface="Segoe UI" panose="020B0502040204020203" pitchFamily="34" charset="0"/>
              </a:rPr>
              <a:t>3000 €</a:t>
            </a:r>
            <a:r>
              <a:rPr lang="pt-pt" sz="1100">
                <a:solidFill>
                  <a:schemeClr val="tx1">
                    <a:lumMod val="75000"/>
                    <a:lumOff val="25000"/>
                  </a:schemeClr>
                </a:solidFill>
                <a:latin typeface="Segoe UI" panose="020B0502040204020203" pitchFamily="34" charset="0"/>
                <a:cs typeface="Segoe UI" panose="020B0502040204020203" pitchFamily="34" charset="0"/>
              </a:rPr>
              <a:t> é apresentado.</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6</a:t>
            </a:r>
          </a:p>
        </xdr:txBody>
      </xdr:sp>
      <xdr:cxnSp macro="">
        <xdr:nvCxnSpPr>
          <xdr:cNvPr id="157" name="Conexão Reta 156" descr="Linha decorativa">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Imagem 157" descr="Seta para baixo">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713611" y="13613572"/>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ais Informações na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716905" cy="3346848"/>
          <a:chOff x="385765" y="14586347"/>
          <a:chExt cx="5695950" cy="3267075"/>
        </a:xfrm>
      </xdr:grpSpPr>
      <xdr:sp macro="" textlink="">
        <xdr:nvSpPr>
          <xdr:cNvPr id="160" name="Retângulo 159" descr="Fundo">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1" name="Passo" descr="Mais informações na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Conexão Reta 161" descr="Linha decorativa">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Botão Seguinte" descr="Voltar ao início, com hiperligação para a célula A1">
            <a:hlinkClick xmlns:r="http://schemas.openxmlformats.org/officeDocument/2006/relationships" r:id="rId11" tooltip="Selecione para voltar à célula A1 nesta folha de cálculo"/>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64" name="Conexão Reta 163" descr="Linha decorativa">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600-0000A5000000}"/>
              </a:ext>
            </a:extLst>
          </xdr:cNvPr>
          <xdr:cNvSpPr/>
        </xdr:nvSpPr>
        <xdr:spPr>
          <a:xfrm>
            <a:off x="4448175" y="17279624"/>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66" name="Passo" descr="Descrição geral das tabelas do Excel, com hiperligação para a Web">
            <a:hlinkClick xmlns:r="http://schemas.openxmlformats.org/officeDocument/2006/relationships" r:id="rId12" tooltip="Selecione para aceder à Web e obter uma descrição geral das tabelas do Excel"/>
            <a:extLst>
              <a:ext uri="{FF2B5EF4-FFF2-40B4-BE49-F238E27FC236}">
                <a16:creationId xmlns:a16="http://schemas.microsoft.com/office/drawing/2014/main" id="{00000000-0008-0000-0600-0000A6000000}"/>
              </a:ext>
            </a:extLst>
          </xdr:cNvPr>
          <xdr:cNvSpPr txBox="1"/>
        </xdr:nvSpPr>
        <xdr:spPr>
          <a:xfrm>
            <a:off x="1024548" y="15381196"/>
            <a:ext cx="27283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 das tabelas do Excel</a:t>
            </a:r>
          </a:p>
        </xdr:txBody>
      </xdr:sp>
      <xdr:pic>
        <xdr:nvPicPr>
          <xdr:cNvPr id="167"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Passo" descr="Obter o total de dados numa tabela do Excel, com hiperligação para a Web">
            <a:hlinkClick xmlns:r="http://schemas.openxmlformats.org/officeDocument/2006/relationships" r:id="rId15" tooltip="Selecione para aceder à Web e saber como calcular o total dos dados numa tabela do Excel"/>
            <a:extLst>
              <a:ext uri="{FF2B5EF4-FFF2-40B4-BE49-F238E27FC236}">
                <a16:creationId xmlns:a16="http://schemas.microsoft.com/office/drawing/2014/main" id="{00000000-0008-0000-0600-0000A8000000}"/>
              </a:ext>
            </a:extLst>
          </xdr:cNvPr>
          <xdr:cNvSpPr txBox="1"/>
        </xdr:nvSpPr>
        <xdr:spPr>
          <a:xfrm>
            <a:off x="1024548" y="15845803"/>
            <a:ext cx="358555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Calcular</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total dos dados numa tabela do Excel</a:t>
            </a:r>
          </a:p>
        </xdr:txBody>
      </xdr:sp>
      <xdr:pic>
        <xdr:nvPicPr>
          <xdr:cNvPr id="169"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Passo" descr="Utilizar colunas calculadas numa tabela do Excel, com hiperligação para a Web">
            <a:hlinkClick xmlns:r="http://schemas.openxmlformats.org/officeDocument/2006/relationships" r:id="rId16" tooltip="Selecione para aceder à Web e saber como utilizar colunas calculadas numa tabela do Excel"/>
            <a:extLst>
              <a:ext uri="{FF2B5EF4-FFF2-40B4-BE49-F238E27FC236}">
                <a16:creationId xmlns:a16="http://schemas.microsoft.com/office/drawing/2014/main" id="{00000000-0008-0000-0600-0000AA000000}"/>
              </a:ext>
            </a:extLst>
          </xdr:cNvPr>
          <xdr:cNvSpPr txBox="1"/>
        </xdr:nvSpPr>
        <xdr:spPr>
          <a:xfrm>
            <a:off x="1024548" y="16312969"/>
            <a:ext cx="339505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colunas calculadas numa tabela do Excel</a:t>
            </a:r>
          </a:p>
        </xdr:txBody>
      </xdr:sp>
      <xdr:pic>
        <xdr:nvPicPr>
          <xdr:cNvPr id="171"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ir uma lista pendente"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16905" cy="4562475"/>
          <a:chOff x="333375" y="276225"/>
          <a:chExt cx="5693569" cy="4636294"/>
        </a:xfrm>
      </xdr:grpSpPr>
      <xdr:sp macro="" textlink="">
        <xdr:nvSpPr>
          <xdr:cNvPr id="89" name="Retângulo 88" descr="Fundo">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0" name="Passo" descr="Inserir uma lista pendente">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Inserir uma lista pendente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Conexão Reta 90" descr="Linha decorativa">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Botão Seguinte" descr="Desça para ver mais detalhes">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93" name="Conexão Reta 92" descr="Linha decorativa">
            <a:extLst>
              <a:ext uri="{FF2B5EF4-FFF2-40B4-BE49-F238E27FC236}">
                <a16:creationId xmlns:a16="http://schemas.microsoft.com/office/drawing/2014/main" id="{00000000-0008-0000-0700-00005D000000}"/>
              </a:ext>
            </a:extLst>
          </xdr:cNvPr>
          <xdr:cNvCxnSpPr>
            <a:cxnSpLocks/>
          </xdr:cNvCxnSpPr>
        </xdr:nvCxnSpPr>
        <xdr:spPr>
          <a:xfrm>
            <a:off x="568299" y="3926989"/>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700-00005E000000}"/>
              </a:ext>
            </a:extLst>
          </xdr:cNvPr>
          <xdr:cNvSpPr/>
        </xdr:nvSpPr>
        <xdr:spPr>
          <a:xfrm>
            <a:off x="4417893" y="4178263"/>
            <a:ext cx="1371027"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95" name="Passo" descr="As listas pendentes facilitam a introdução de dados pelas pessoas. Eis como criar uma:">
            <a:extLst>
              <a:ext uri="{FF2B5EF4-FFF2-40B4-BE49-F238E27FC236}">
                <a16:creationId xmlns:a16="http://schemas.microsoft.com/office/drawing/2014/main" id="{00000000-0008-0000-0700-00005F000000}"/>
              </a:ext>
            </a:extLst>
          </xdr:cNvPr>
          <xdr:cNvSpPr txBox="1"/>
        </xdr:nvSpPr>
        <xdr:spPr>
          <a:xfrm>
            <a:off x="561975" y="975945"/>
            <a:ext cx="5298557" cy="432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As listas pendentes facilitam a introdução de dados pelas pessoas. Eis como criar uma: </a:t>
            </a:r>
          </a:p>
        </xdr:txBody>
      </xdr:sp>
      <xdr:sp macro="" textlink="">
        <xdr:nvSpPr>
          <xdr:cNvPr id="96" name="Passo" descr="Queremos que apenas três nomes de departamento sejam entradas válidas para cada um dos alimentos à direita. Esses departamentos são Prod. Agrícolas, Carne e Padaria">
            <a:extLst>
              <a:ext uri="{FF2B5EF4-FFF2-40B4-BE49-F238E27FC236}">
                <a16:creationId xmlns:a16="http://schemas.microsoft.com/office/drawing/2014/main" id="{00000000-0008-0000-0700-000060000000}"/>
              </a:ext>
            </a:extLst>
          </xdr:cNvPr>
          <xdr:cNvSpPr txBox="1"/>
        </xdr:nvSpPr>
        <xdr:spPr>
          <a:xfrm>
            <a:off x="969777" y="1397111"/>
            <a:ext cx="4809516" cy="66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Queremos que apenas três nomes de departamento sejam entradas válidas para cada um dos alimentos à direita. Esses departamentos são Prod. Agrícolas, Carne e Padaria.</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451404"/>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98" name="Passo" descr="Clique e arraste para selecionar as células amarelas sob Departamento">
            <a:extLst>
              <a:ext uri="{FF2B5EF4-FFF2-40B4-BE49-F238E27FC236}">
                <a16:creationId xmlns:a16="http://schemas.microsoft.com/office/drawing/2014/main" id="{00000000-0008-0000-0700-000062000000}"/>
              </a:ext>
            </a:extLst>
          </xdr:cNvPr>
          <xdr:cNvSpPr txBox="1"/>
        </xdr:nvSpPr>
        <xdr:spPr>
          <a:xfrm>
            <a:off x="969776" y="2038743"/>
            <a:ext cx="4809517" cy="32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as células amarelas sob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Departamento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2010840"/>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00" name="Passo" descr="No separador Dados, clique em Validação de Dados. Em Permitir, clique em Lista">
            <a:extLst>
              <a:ext uri="{FF2B5EF4-FFF2-40B4-BE49-F238E27FC236}">
                <a16:creationId xmlns:a16="http://schemas.microsoft.com/office/drawing/2014/main" id="{00000000-0008-0000-0700-000064000000}"/>
              </a:ext>
            </a:extLst>
          </xdr:cNvPr>
          <xdr:cNvSpPr txBox="1"/>
        </xdr:nvSpPr>
        <xdr:spPr>
          <a:xfrm>
            <a:off x="969777" y="2465272"/>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separador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Validação de 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461490"/>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02" name="Passo" descr="Na caixa Origem, escreva Prod. Agrícolas, Carne, Padaria. Certifique-se de que coloca vírgulas entre os mesmos. Clique em OK quando terminar">
            <a:extLst>
              <a:ext uri="{FF2B5EF4-FFF2-40B4-BE49-F238E27FC236}">
                <a16:creationId xmlns:a16="http://schemas.microsoft.com/office/drawing/2014/main" id="{00000000-0008-0000-0700-000066000000}"/>
              </a:ext>
            </a:extLst>
          </xdr:cNvPr>
          <xdr:cNvSpPr txBox="1"/>
        </xdr:nvSpPr>
        <xdr:spPr>
          <a:xfrm>
            <a:off x="969777" y="2954341"/>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caixa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Origem</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escreva</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 Agrícolas; Carne; Padaria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Certifique-se de que coloca vírgulas entre eles.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quando terminar.</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950559"/>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04" name="Passo" descr="Agora clique na célula amarela junto a Maçãs e verá um menu pendente">
            <a:extLst>
              <a:ext uri="{FF2B5EF4-FFF2-40B4-BE49-F238E27FC236}">
                <a16:creationId xmlns:a16="http://schemas.microsoft.com/office/drawing/2014/main" id="{00000000-0008-0000-0700-000068000000}"/>
              </a:ext>
            </a:extLst>
          </xdr:cNvPr>
          <xdr:cNvSpPr txBox="1"/>
        </xdr:nvSpPr>
        <xdr:spPr>
          <a:xfrm>
            <a:off x="969777" y="3486632"/>
            <a:ext cx="4809516" cy="361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clique na célula amarela junto 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Maçãs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verá um menu pendente.</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42969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25</xdr:row>
      <xdr:rowOff>190499</xdr:rowOff>
    </xdr:from>
    <xdr:to>
      <xdr:col>1</xdr:col>
      <xdr:colOff>5238750</xdr:colOff>
      <xdr:row>60</xdr:row>
      <xdr:rowOff>104774</xdr:rowOff>
    </xdr:to>
    <xdr:grpSp>
      <xdr:nvGrpSpPr>
        <xdr:cNvPr id="7" name="Práticas recomendadas para listas pendentes: utilize uma tabela."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499"/>
          <a:ext cx="5716905" cy="6581775"/>
          <a:chOff x="390525" y="6036468"/>
          <a:chExt cx="5693569" cy="6581775"/>
        </a:xfrm>
      </xdr:grpSpPr>
      <xdr:sp macro="" textlink="">
        <xdr:nvSpPr>
          <xdr:cNvPr id="118" name="Retângulo 117" descr="Fundo">
            <a:extLst>
              <a:ext uri="{FF2B5EF4-FFF2-40B4-BE49-F238E27FC236}">
                <a16:creationId xmlns:a16="http://schemas.microsoft.com/office/drawing/2014/main" id="{00000000-0008-0000-0700-000076000000}"/>
              </a:ext>
            </a:extLst>
          </xdr:cNvPr>
          <xdr:cNvSpPr/>
        </xdr:nvSpPr>
        <xdr:spPr>
          <a:xfrm>
            <a:off x="390525" y="6036468"/>
            <a:ext cx="5693569" cy="658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o" descr="Prática recomendada para listas pendentes: utilize uma tabela.">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Práticas recomendadas para listas pendentes: Utilize uma tabela.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Conexão Reta 119" descr="Linha decorativa">
            <a:extLst>
              <a:ext uri="{FF2B5EF4-FFF2-40B4-BE49-F238E27FC236}">
                <a16:creationId xmlns:a16="http://schemas.microsoft.com/office/drawing/2014/main" id="{00000000-0008-0000-0700-000078000000}"/>
              </a:ext>
            </a:extLst>
          </xdr:cNvPr>
          <xdr:cNvCxnSpPr>
            <a:cxnSpLocks/>
          </xdr:cNvCxnSpPr>
        </xdr:nvCxnSpPr>
        <xdr:spPr>
          <a:xfrm>
            <a:off x="625449" y="7081680"/>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
            <a:extLst>
              <a:ext uri="{FF2B5EF4-FFF2-40B4-BE49-F238E27FC236}">
                <a16:creationId xmlns:a16="http://schemas.microsoft.com/office/drawing/2014/main" id="{00000000-0008-0000-0700-000079000000}"/>
              </a:ext>
            </a:extLst>
          </xdr:cNvPr>
          <xdr:cNvSpPr txBox="1"/>
        </xdr:nvSpPr>
        <xdr:spPr>
          <a:xfrm>
            <a:off x="619125" y="7155290"/>
            <a:ext cx="5298557" cy="862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a:t>
            </a:r>
          </a:p>
        </xdr:txBody>
      </xdr:sp>
      <xdr:sp macro="" textlink="">
        <xdr:nvSpPr>
          <xdr:cNvPr id="122" name="Passo" descr="Na coluna G, clique numa célula com um departamento. Por exemplo, clique em Carne">
            <a:extLst>
              <a:ext uri="{FF2B5EF4-FFF2-40B4-BE49-F238E27FC236}">
                <a16:creationId xmlns:a16="http://schemas.microsoft.com/office/drawing/2014/main" id="{00000000-0008-0000-0700-00007A000000}"/>
              </a:ext>
            </a:extLst>
          </xdr:cNvPr>
          <xdr:cNvSpPr txBox="1"/>
        </xdr:nvSpPr>
        <xdr:spPr>
          <a:xfrm>
            <a:off x="1026927" y="803666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coluna F, clique numa célula com um departamento. Por exemplo,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Carne</a:t>
            </a:r>
            <a:r>
              <a:rPr lang="pt-pt"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804178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24" name="Passo" descr="Agora clique na seta para baixo. Existem apenas três departamentos: Prod. Agrícolas, Carne e Padaria. No entanto, se adicionar um novo departamento na coluna F abaixo de Padaria, a tabela será atualizada com o novo departamento">
            <a:extLst>
              <a:ext uri="{FF2B5EF4-FFF2-40B4-BE49-F238E27FC236}">
                <a16:creationId xmlns:a16="http://schemas.microsoft.com/office/drawing/2014/main" id="{00000000-0008-0000-0700-00007C000000}"/>
              </a:ext>
            </a:extLst>
          </xdr:cNvPr>
          <xdr:cNvSpPr txBox="1"/>
        </xdr:nvSpPr>
        <xdr:spPr>
          <a:xfrm>
            <a:off x="1026926" y="11499155"/>
            <a:ext cx="4809517" cy="78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Agora clique na seta para baixo. Existem apenas três departamentos: Prod. Agrícolas, Carne e Padaria. No entanto, se adicionar um novo departamento na coluna F abaixo de Padaria, a tabela será atualizada com o novo departamento.</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53285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8</a:t>
            </a:r>
          </a:p>
        </xdr:txBody>
      </xdr:sp>
      <xdr:sp macro="" textlink="">
        <xdr:nvSpPr>
          <xdr:cNvPr id="126" name="Passo" descr="Crie uma tabela ao premir a tecla Controlo e a tecla T e, em seguida, OK">
            <a:extLst>
              <a:ext uri="{FF2B5EF4-FFF2-40B4-BE49-F238E27FC236}">
                <a16:creationId xmlns:a16="http://schemas.microsoft.com/office/drawing/2014/main" id="{00000000-0008-0000-0700-00007E000000}"/>
              </a:ext>
            </a:extLst>
          </xdr:cNvPr>
          <xdr:cNvSpPr txBox="1"/>
        </xdr:nvSpPr>
        <xdr:spPr>
          <a:xfrm>
            <a:off x="1026927" y="8520624"/>
            <a:ext cx="4809516" cy="335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Crie uma tabela ao premir </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b="0">
                <a:solidFill>
                  <a:schemeClr val="tx1">
                    <a:lumMod val="75000"/>
                    <a:lumOff val="25000"/>
                  </a:schemeClr>
                </a:solidFill>
                <a:latin typeface="Segoe UI" panose="020B0502040204020203" pitchFamily="34" charset="0"/>
                <a:cs typeface="Segoe UI" panose="020B0502040204020203" pitchFamily="34" charset="0"/>
              </a:rPr>
              <a:t>e, em seguida, </a:t>
            </a:r>
            <a:r>
              <a:rPr lang="pt-pt" sz="1100" b="1">
                <a:solidFill>
                  <a:schemeClr val="tx1">
                    <a:lumMod val="75000"/>
                    <a:lumOff val="25000"/>
                  </a:schemeClr>
                </a:solidFill>
                <a:latin typeface="Segoe UI" panose="020B0502040204020203" pitchFamily="34" charset="0"/>
                <a:cs typeface="Segoe UI" panose="020B0502040204020203" pitchFamily="34" charset="0"/>
              </a:rPr>
              <a:t>OK</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51622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28" name="Passo" descr="Agora configure a validação de dados novamente. Na coluna D, selecione todas as células em branco abaixo de Departamento">
            <a:extLst>
              <a:ext uri="{FF2B5EF4-FFF2-40B4-BE49-F238E27FC236}">
                <a16:creationId xmlns:a16="http://schemas.microsoft.com/office/drawing/2014/main" id="{00000000-0008-0000-0700-000080000000}"/>
              </a:ext>
            </a:extLst>
          </xdr:cNvPr>
          <xdr:cNvSpPr txBox="1"/>
        </xdr:nvSpPr>
        <xdr:spPr>
          <a:xfrm>
            <a:off x="1026927" y="8990559"/>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Agora configure a validação de dados novamente. Na coluna D, selecione todas as células em branco abaixo de </a:t>
            </a:r>
            <a:r>
              <a:rPr lang="pt-pt" sz="1100" b="1">
                <a:solidFill>
                  <a:schemeClr val="tx1">
                    <a:lumMod val="75000"/>
                    <a:lumOff val="25000"/>
                  </a:schemeClr>
                </a:solidFill>
                <a:latin typeface="Segoe UI" panose="020B0502040204020203" pitchFamily="34" charset="0"/>
                <a:cs typeface="Segoe UI" panose="020B0502040204020203" pitchFamily="34" charset="0"/>
              </a:rPr>
              <a:t>Departamento</a:t>
            </a:r>
            <a:r>
              <a:rPr lang="pt-pt" sz="1100">
                <a:solidFill>
                  <a:schemeClr val="tx1">
                    <a:lumMod val="75000"/>
                    <a:lumOff val="25000"/>
                  </a:schemeClr>
                </a:solidFill>
                <a:latin typeface="Segoe UI" panose="020B0502040204020203" pitchFamily="34" charset="0"/>
                <a:cs typeface="Segoe UI" panose="020B0502040204020203" pitchFamily="34" charset="0"/>
              </a:rPr>
              <a:t>.</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98616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cxnSp macro="">
        <xdr:nvCxnSpPr>
          <xdr:cNvPr id="130" name="Conexão Reta 129" descr="Linha decorativa">
            <a:extLst>
              <a:ext uri="{FF2B5EF4-FFF2-40B4-BE49-F238E27FC236}">
                <a16:creationId xmlns:a16="http://schemas.microsoft.com/office/drawing/2014/main" id="{00000000-0008-0000-0700-000082000000}"/>
              </a:ext>
            </a:extLst>
          </xdr:cNvPr>
          <xdr:cNvCxnSpPr>
            <a:cxnSpLocks/>
          </xdr:cNvCxnSpPr>
        </xdr:nvCxnSpPr>
        <xdr:spPr>
          <a:xfrm>
            <a:off x="625449" y="12338348"/>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Passo" descr="No separador Dados, clique em Validação de Dados. Em Permitir, clique em Lista">
            <a:extLst>
              <a:ext uri="{FF2B5EF4-FFF2-40B4-BE49-F238E27FC236}">
                <a16:creationId xmlns:a16="http://schemas.microsoft.com/office/drawing/2014/main" id="{00000000-0008-0000-0700-00006C000000}"/>
              </a:ext>
            </a:extLst>
          </xdr:cNvPr>
          <xdr:cNvSpPr txBox="1"/>
        </xdr:nvSpPr>
        <xdr:spPr>
          <a:xfrm>
            <a:off x="1026927" y="9519221"/>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separador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Validação de 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49577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10" name="Passo" descr="Clique dentro da caixa Origem e, em seguida, clique no botão de seta para cima">
            <a:extLst>
              <a:ext uri="{FF2B5EF4-FFF2-40B4-BE49-F238E27FC236}">
                <a16:creationId xmlns:a16="http://schemas.microsoft.com/office/drawing/2014/main" id="{00000000-0008-0000-0700-00006E000000}"/>
              </a:ext>
            </a:extLst>
          </xdr:cNvPr>
          <xdr:cNvSpPr txBox="1"/>
        </xdr:nvSpPr>
        <xdr:spPr>
          <a:xfrm>
            <a:off x="1026927" y="1001788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dentro da caixa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Origem</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clique no botão de seta para cima</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1002300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12" name="Passo" descr="Clique e arraste para selecionar apenas as células Prod. Agrícolas, Carne e Padaria na coluna F. Em seguida, clique no botão de seta para baixo ">
            <a:extLst>
              <a:ext uri="{FF2B5EF4-FFF2-40B4-BE49-F238E27FC236}">
                <a16:creationId xmlns:a16="http://schemas.microsoft.com/office/drawing/2014/main" id="{00000000-0008-0000-0700-000070000000}"/>
              </a:ext>
            </a:extLst>
          </xdr:cNvPr>
          <xdr:cNvSpPr txBox="1"/>
        </xdr:nvSpPr>
        <xdr:spPr>
          <a:xfrm>
            <a:off x="1026927" y="1047892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apenas as células</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 Agrícolas</a:t>
            </a:r>
            <a:r>
              <a:rPr lang="pt-p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 </a:t>
            </a:r>
            <a:r>
              <a:rPr lang="pt-p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Padaria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na coluna F. Em seguida, clique no botão de seta para baixo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51262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6</a:t>
            </a:r>
          </a:p>
        </xdr:txBody>
      </xdr:sp>
      <xdr:sp macro="" textlink="">
        <xdr:nvSpPr>
          <xdr:cNvPr id="114" name="Passo" descr="Deverá ver o seguinte na caixa Origem: =$F$32:$F$34. (Se não vir, pode escrevê-lo.) Clique em OK">
            <a:extLst>
              <a:ext uri="{FF2B5EF4-FFF2-40B4-BE49-F238E27FC236}">
                <a16:creationId xmlns:a16="http://schemas.microsoft.com/office/drawing/2014/main" id="{00000000-0008-0000-0700-000072000000}"/>
              </a:ext>
            </a:extLst>
          </xdr:cNvPr>
          <xdr:cNvSpPr txBox="1"/>
        </xdr:nvSpPr>
        <xdr:spPr>
          <a:xfrm>
            <a:off x="1026927" y="109878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Deverá ver o seguinte na caixa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Origem</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 não vir, pode escrevê-lo.)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10120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7</a:t>
            </a:r>
          </a:p>
        </xdr:txBody>
      </xdr:sp>
      <xdr:sp macro="" textlink="">
        <xdr:nvSpPr>
          <xdr:cNvPr id="116" name="Retângulo: Cantos Arredondados 115" descr="Tecla Ctrl">
            <a:extLst>
              <a:ext uri="{FF2B5EF4-FFF2-40B4-BE49-F238E27FC236}">
                <a16:creationId xmlns:a16="http://schemas.microsoft.com/office/drawing/2014/main" id="{00000000-0008-0000-0700-000074000000}"/>
              </a:ext>
            </a:extLst>
          </xdr:cNvPr>
          <xdr:cNvSpPr/>
        </xdr:nvSpPr>
        <xdr:spPr>
          <a:xfrm>
            <a:off x="2792516" y="853321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tângulo: Cantos Arredondados 116" descr="Tecla T">
            <a:extLst>
              <a:ext uri="{FF2B5EF4-FFF2-40B4-BE49-F238E27FC236}">
                <a16:creationId xmlns:a16="http://schemas.microsoft.com/office/drawing/2014/main" id="{00000000-0008-0000-0700-000075000000}"/>
              </a:ext>
            </a:extLst>
          </xdr:cNvPr>
          <xdr:cNvSpPr/>
        </xdr:nvSpPr>
        <xdr:spPr>
          <a:xfrm>
            <a:off x="3336917" y="853321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T</a:t>
            </a:r>
          </a:p>
        </xdr:txBody>
      </xdr:sp>
      <xdr:pic>
        <xdr:nvPicPr>
          <xdr:cNvPr id="4" name="Imagem 3" descr="Botão editar referência">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1463548" y="10284963"/>
            <a:ext cx="204439" cy="181207"/>
          </a:xfrm>
          <a:prstGeom prst="rect">
            <a:avLst/>
          </a:prstGeom>
        </xdr:spPr>
      </xdr:pic>
      <xdr:pic>
        <xdr:nvPicPr>
          <xdr:cNvPr id="5" name="Imagem 4" descr="Fechar edição da referência">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5365806" y="10731969"/>
            <a:ext cx="206644" cy="184043"/>
          </a:xfrm>
          <a:prstGeom prst="rect">
            <a:avLst/>
          </a:prstGeom>
        </xdr:spPr>
      </xdr:pic>
    </xdr:grpSp>
    <xdr:clientData/>
  </xdr:twoCellAnchor>
  <xdr:twoCellAnchor editAs="oneCell">
    <xdr:from>
      <xdr:col>4</xdr:col>
      <xdr:colOff>657225</xdr:colOff>
      <xdr:row>33</xdr:row>
      <xdr:rowOff>83980</xdr:rowOff>
    </xdr:from>
    <xdr:to>
      <xdr:col>7</xdr:col>
      <xdr:colOff>581024</xdr:colOff>
      <xdr:row>43</xdr:row>
      <xdr:rowOff>47625</xdr:rowOff>
    </xdr:to>
    <xdr:grpSp>
      <xdr:nvGrpSpPr>
        <xdr:cNvPr id="8" name="Grupo 7"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2AF5B3F9-EEED-4EA5-9B9D-98766FAF035D}"/>
            </a:ext>
          </a:extLst>
        </xdr:cNvPr>
        <xdr:cNvGrpSpPr/>
      </xdr:nvGrpSpPr>
      <xdr:grpSpPr>
        <a:xfrm>
          <a:off x="9222105" y="6941980"/>
          <a:ext cx="2522219" cy="1868645"/>
          <a:chOff x="8591550" y="7361080"/>
          <a:chExt cx="2447924" cy="1868645"/>
        </a:xfrm>
      </xdr:grpSpPr>
      <xdr:sp macro="" textlink="">
        <xdr:nvSpPr>
          <xdr:cNvPr id="134" name="Arco 133" descr="Seta">
            <a:extLst>
              <a:ext uri="{FF2B5EF4-FFF2-40B4-BE49-F238E27FC236}">
                <a16:creationId xmlns:a16="http://schemas.microsoft.com/office/drawing/2014/main" id="{00000000-0008-0000-0700-000086000000}"/>
              </a:ext>
            </a:extLst>
          </xdr:cNvPr>
          <xdr:cNvSpPr/>
        </xdr:nvSpPr>
        <xdr:spPr>
          <a:xfrm rot="1202673">
            <a:off x="9572806" y="7361080"/>
            <a:ext cx="986817" cy="833071"/>
          </a:xfrm>
          <a:prstGeom prst="arc">
            <a:avLst>
              <a:gd name="adj1" fmla="val 14387296"/>
              <a:gd name="adj2" fmla="val 1405873"/>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pic>
        <xdr:nvPicPr>
          <xdr:cNvPr id="136" name="Gráfico 2" descr="Coruja">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Passo"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Muitas vezes, as pessoas colocam as suas listas de validação noutra folha. Desta forma, evitamos que os outros utilizadores alterem a lista.</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638176</xdr:colOff>
      <xdr:row>1</xdr:row>
      <xdr:rowOff>85725</xdr:rowOff>
    </xdr:from>
    <xdr:to>
      <xdr:col>8</xdr:col>
      <xdr:colOff>457200</xdr:colOff>
      <xdr:row>15</xdr:row>
      <xdr:rowOff>104775</xdr:rowOff>
    </xdr:to>
    <xdr:grpSp>
      <xdr:nvGrpSpPr>
        <xdr:cNvPr id="6" name="Grupo 5"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saber mais sobre as mesmas clicando na ligação no final desta folha.&#10;">
          <a:extLst>
            <a:ext uri="{FF2B5EF4-FFF2-40B4-BE49-F238E27FC236}">
              <a16:creationId xmlns:a16="http://schemas.microsoft.com/office/drawing/2014/main" id="{7ED50FD9-FB74-4E6E-A9E0-3ECD4AF03D09}"/>
            </a:ext>
          </a:extLst>
        </xdr:cNvPr>
        <xdr:cNvGrpSpPr/>
      </xdr:nvGrpSpPr>
      <xdr:grpSpPr>
        <a:xfrm>
          <a:off x="9203056" y="847725"/>
          <a:ext cx="3027044" cy="2686050"/>
          <a:chOff x="8572500" y="847725"/>
          <a:chExt cx="2774834" cy="2933700"/>
        </a:xfrm>
      </xdr:grpSpPr>
      <xdr:sp macro="" textlink="">
        <xdr:nvSpPr>
          <xdr:cNvPr id="142" name="Passo"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saber mais sobre as mesmas clicando na ligação no final desta folha.&#10;">
            <a:extLst>
              <a:ext uri="{FF2B5EF4-FFF2-40B4-BE49-F238E27FC236}">
                <a16:creationId xmlns:a16="http://schemas.microsoft.com/office/drawing/2014/main" id="{00000000-0008-0000-0700-00008E000000}"/>
              </a:ext>
            </a:extLst>
          </xdr:cNvPr>
          <xdr:cNvSpPr txBox="1"/>
        </xdr:nvSpPr>
        <xdr:spPr>
          <a:xfrm>
            <a:off x="8886092" y="882732"/>
            <a:ext cx="2461242"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As listas pendentes ajudam a garantir que as pessoas introduzem dados válidos. Por isso, </a:t>
            </a:r>
            <a:r>
              <a:rPr lang="pt-pt" sz="1100" b="0" kern="0">
                <a:solidFill>
                  <a:schemeClr val="bg2">
                    <a:lumMod val="25000"/>
                  </a:schemeClr>
                </a:solidFill>
                <a:ea typeface="Segoe UI" pitchFamily="34" charset="0"/>
                <a:cs typeface="Segoe UI Light" panose="020B0502040204020203" pitchFamily="34" charset="0"/>
              </a:rPr>
              <a:t>faz sentido que as listas e objetos pendentes façam parte de um grupo maior de funcionalidades conhecido como </a:t>
            </a:r>
            <a:r>
              <a:rPr lang="pt-pt" sz="1100" b="1" kern="0">
                <a:solidFill>
                  <a:schemeClr val="bg2">
                    <a:lumMod val="25000"/>
                  </a:schemeClr>
                </a:solidFill>
                <a:ea typeface="Segoe UI" pitchFamily="34" charset="0"/>
                <a:cs typeface="Segoe UI Light" panose="020B0502040204020203" pitchFamily="34" charset="0"/>
              </a:rPr>
              <a:t>Validação de Dados</a:t>
            </a:r>
            <a:r>
              <a:rPr lang="pt-pt" sz="1100" kern="0">
                <a:solidFill>
                  <a:schemeClr val="bg2">
                    <a:lumMod val="25000"/>
                  </a:schemeClr>
                </a:solidFill>
                <a:ea typeface="Segoe UI" pitchFamily="34" charset="0"/>
                <a:cs typeface="Segoe UI Light" panose="020B0502040204020203" pitchFamily="34" charset="0"/>
              </a:rPr>
              <a:t>.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Existem outros métodos de validação de dados</a:t>
            </a:r>
            <a:r>
              <a:rPr lang="pt-pt" sz="1100" kern="0" baseline="0">
                <a:solidFill>
                  <a:schemeClr val="bg2">
                    <a:lumMod val="25000"/>
                  </a:schemeClr>
                </a:solidFill>
                <a:ea typeface="Segoe UI" pitchFamily="34" charset="0"/>
                <a:cs typeface="Segoe UI Light" panose="020B0502040204020203" pitchFamily="34" charset="0"/>
              </a:rPr>
              <a:t>. Por exemplo, pode </a:t>
            </a:r>
            <a:r>
              <a:rPr lang="pt-pt" sz="1100" kern="0">
                <a:solidFill>
                  <a:schemeClr val="bg2">
                    <a:lumMod val="25000"/>
                  </a:schemeClr>
                </a:solidFill>
                <a:ea typeface="Segoe UI" pitchFamily="34" charset="0"/>
                <a:cs typeface="Segoe UI Light" panose="020B0502040204020203" pitchFamily="34" charset="0"/>
              </a:rPr>
              <a:t>restringir</a:t>
            </a:r>
            <a:r>
              <a:rPr lang="pt-pt" sz="1100" kern="0" baseline="0">
                <a:solidFill>
                  <a:schemeClr val="bg2">
                    <a:lumMod val="25000"/>
                  </a:schemeClr>
                </a:solidFill>
                <a:ea typeface="Segoe UI" pitchFamily="34" charset="0"/>
                <a:cs typeface="Segoe UI Light" panose="020B0502040204020203" pitchFamily="34" charset="0"/>
              </a:rPr>
              <a:t> a introdução para números inteiros, datas ou até montantes mínimos e máximos. Existem muitas opções disponíveis e pode saber mais sobre as mesmas clicando na ligação no final desta folha.</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áfico 147" descr="Óculo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61</xdr:row>
      <xdr:rowOff>171450</xdr:rowOff>
    </xdr:from>
    <xdr:to>
      <xdr:col>1</xdr:col>
      <xdr:colOff>5238750</xdr:colOff>
      <xdr:row>77</xdr:row>
      <xdr:rowOff>129200</xdr:rowOff>
    </xdr:to>
    <xdr:grpSp>
      <xdr:nvGrpSpPr>
        <xdr:cNvPr id="2" name="Mais Informações na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2363450"/>
          <a:ext cx="5716905" cy="3005750"/>
          <a:chOff x="390525" y="12239625"/>
          <a:chExt cx="5695950" cy="3005750"/>
        </a:xfrm>
      </xdr:grpSpPr>
      <xdr:sp macro="" textlink="">
        <xdr:nvSpPr>
          <xdr:cNvPr id="145" name="Retângulo 144" descr="Fundo">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6" name="Passo" descr="Mais informações na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Conexão Reta 146" descr="Linha decorativa">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Voltar ao início, com hiperligação para a célula A1">
            <a:hlinkClick xmlns:r="http://schemas.openxmlformats.org/officeDocument/2006/relationships" r:id="rId9" tooltip="Selecione para voltar à célula A1 nesta folha de cálculo"/>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49" name="Conexão Reta 148" descr="Linha decorativa">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700-000096000000}"/>
              </a:ext>
            </a:extLst>
          </xdr:cNvPr>
          <xdr:cNvSpPr/>
        </xdr:nvSpPr>
        <xdr:spPr>
          <a:xfrm>
            <a:off x="4448175" y="14600227"/>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51" name="Passo" descr="Aplicar validação de dados a células, com hiperligação para a Web">
            <a:hlinkClick xmlns:r="http://schemas.openxmlformats.org/officeDocument/2006/relationships" r:id="rId10" tooltip="Selecione para aceder à Web e saber como aplicar a validação de dados a células"/>
            <a:extLst>
              <a:ext uri="{FF2B5EF4-FFF2-40B4-BE49-F238E27FC236}">
                <a16:creationId xmlns:a16="http://schemas.microsoft.com/office/drawing/2014/main" id="{00000000-0008-0000-0700-000097000000}"/>
              </a:ext>
            </a:extLst>
          </xdr:cNvPr>
          <xdr:cNvSpPr txBox="1"/>
        </xdr:nvSpPr>
        <xdr:spPr>
          <a:xfrm>
            <a:off x="1029307" y="13034473"/>
            <a:ext cx="2656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Aplicar validação de dados a células</a:t>
            </a:r>
          </a:p>
        </xdr:txBody>
      </xdr:sp>
      <xdr:pic>
        <xdr:nvPicPr>
          <xdr:cNvPr id="152"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Passo" descr="Criar uma lista pendente, com hiperligação para a Web">
            <a:hlinkClick xmlns:r="http://schemas.openxmlformats.org/officeDocument/2006/relationships" r:id="rId13" tooltip="Selecione para aceder à Web e saber como criar uma lista pendente"/>
            <a:extLst>
              <a:ext uri="{FF2B5EF4-FFF2-40B4-BE49-F238E27FC236}">
                <a16:creationId xmlns:a16="http://schemas.microsoft.com/office/drawing/2014/main" id="{00000000-0008-0000-0700-000099000000}"/>
              </a:ext>
            </a:extLst>
          </xdr:cNvPr>
          <xdr:cNvSpPr txBox="1"/>
        </xdr:nvSpPr>
        <xdr:spPr>
          <a:xfrm>
            <a:off x="1029308" y="13499080"/>
            <a:ext cx="24949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pendente</a:t>
            </a:r>
          </a:p>
        </xdr:txBody>
      </xdr:sp>
      <xdr:pic>
        <xdr:nvPicPr>
          <xdr:cNvPr id="154"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Criar rapidamente um gráfico"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16905" cy="3638550"/>
          <a:chOff x="390525" y="5943600"/>
          <a:chExt cx="5695950" cy="3698874"/>
        </a:xfrm>
      </xdr:grpSpPr>
      <xdr:sp macro="" textlink="">
        <xdr:nvSpPr>
          <xdr:cNvPr id="102" name="Retângulo 101" descr="Fundo">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3" name="Passo" descr="Criar rapidamente um gráfico">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Criar rapidamente um gráfico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Conexão Reta 103" descr="Linha decorativa">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Conexão Reta 104" descr="Linha decorativa">
            <a:extLst>
              <a:ext uri="{FF2B5EF4-FFF2-40B4-BE49-F238E27FC236}">
                <a16:creationId xmlns:a16="http://schemas.microsoft.com/office/drawing/2014/main" id="{00000000-0008-0000-0800-000069000000}"/>
              </a:ext>
            </a:extLst>
          </xdr:cNvPr>
          <xdr:cNvCxnSpPr>
            <a:cxnSpLocks/>
          </xdr:cNvCxnSpPr>
        </xdr:nvCxnSpPr>
        <xdr:spPr>
          <a:xfrm>
            <a:off x="625449" y="93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Passo" descr="Pode utilizar sempre o separador Inserir e criar um gráfico. No entanto, existe outra forma de criar um gráfico, com o botão Análise Rápida. Agora vamos utilizar o atalho de teclado:">
            <a:extLst>
              <a:ext uri="{FF2B5EF4-FFF2-40B4-BE49-F238E27FC236}">
                <a16:creationId xmlns:a16="http://schemas.microsoft.com/office/drawing/2014/main" id="{00000000-0008-0000-0800-00006A000000}"/>
              </a:ext>
            </a:extLst>
          </xdr:cNvPr>
          <xdr:cNvSpPr txBox="1"/>
        </xdr:nvSpPr>
        <xdr:spPr>
          <a:xfrm>
            <a:off x="619125" y="6652845"/>
            <a:ext cx="5238750" cy="6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Pode utilizar sempre o separador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criar um gráfico. No entanto, existe outra forma de criar um gráfico, com o </a:t>
            </a:r>
            <a:r>
              <a:rPr lang="pt-pt"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botão </a:t>
            </a:r>
            <a:r>
              <a:rPr lang="pt-pt" sz="105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Análise Rápida</a:t>
            </a:r>
            <a:r>
              <a:rPr lang="pt-pt"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vamos utilizar o atalho de teclado:</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942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08" name="Passo" descr="Clique no primeiro botão Colunas...">
            <a:extLst>
              <a:ext uri="{FF2B5EF4-FFF2-40B4-BE49-F238E27FC236}">
                <a16:creationId xmlns:a16="http://schemas.microsoft.com/office/drawing/2014/main" id="{00000000-0008-0000-0800-00006C000000}"/>
              </a:ext>
            </a:extLst>
          </xdr:cNvPr>
          <xdr:cNvSpPr txBox="1"/>
        </xdr:nvSpPr>
        <xdr:spPr>
          <a:xfrm>
            <a:off x="1029307" y="8287203"/>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050">
                <a:latin typeface="Segoe UI" panose="020B0502040204020203" pitchFamily="34" charset="0"/>
                <a:cs typeface="Segoe UI" panose="020B0502040204020203" pitchFamily="34" charset="0"/>
              </a:rPr>
              <a:t>Clique no primeiro botão </a:t>
            </a:r>
            <a:r>
              <a:rPr lang="pt-pt" sz="1050" b="1">
                <a:latin typeface="Segoe UI" panose="020B0502040204020203" pitchFamily="34" charset="0"/>
                <a:cs typeface="Segoe UI" panose="020B0502040204020203" pitchFamily="34" charset="0"/>
              </a:rPr>
              <a:t>Colunas...</a:t>
            </a:r>
            <a:r>
              <a:rPr lang="pt-pt" sz="1050">
                <a:latin typeface="Segoe UI" panose="020B0502040204020203" pitchFamily="34" charset="0"/>
                <a:cs typeface="Segoe UI" panose="020B0502040204020203" pitchFamily="34" charset="0"/>
              </a:rPr>
              <a:t>.</a:t>
            </a:r>
          </a:p>
          <a:p>
            <a:pPr rtl="0"/>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23502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10" name="Passo" descr="É apresentado um novo gráfico de colunas agrupadas. Coloque-o onde quiser. Repare que cada produto tem três colunas, uma para cada mês de vendas.">
            <a:extLst>
              <a:ext uri="{FF2B5EF4-FFF2-40B4-BE49-F238E27FC236}">
                <a16:creationId xmlns:a16="http://schemas.microsoft.com/office/drawing/2014/main" id="{00000000-0008-0000-0800-00006E000000}"/>
              </a:ext>
            </a:extLst>
          </xdr:cNvPr>
          <xdr:cNvSpPr txBox="1"/>
        </xdr:nvSpPr>
        <xdr:spPr>
          <a:xfrm>
            <a:off x="1029307" y="872406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050">
                <a:latin typeface="Segoe UI" panose="020B0502040204020203" pitchFamily="34" charset="0"/>
                <a:cs typeface="Segoe UI" panose="020B0502040204020203" pitchFamily="34" charset="0"/>
              </a:rPr>
              <a:t>É apresentado um novo gráfico de colunas agrupadas. Coloque-o onde quiser. Repare que cada produto tem três colunas, uma para cada mês de vendas.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2030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12" name="Passo" descr="No painel apresentado, clique em Gráficos">
            <a:extLst>
              <a:ext uri="{FF2B5EF4-FFF2-40B4-BE49-F238E27FC236}">
                <a16:creationId xmlns:a16="http://schemas.microsoft.com/office/drawing/2014/main" id="{00000000-0008-0000-0800-000070000000}"/>
              </a:ext>
            </a:extLst>
          </xdr:cNvPr>
          <xdr:cNvSpPr txBox="1"/>
        </xdr:nvSpPr>
        <xdr:spPr>
          <a:xfrm>
            <a:off x="1029307" y="7789353"/>
            <a:ext cx="4809517" cy="33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050">
                <a:latin typeface="Segoe UI" panose="020B0502040204020203" pitchFamily="34" charset="0"/>
                <a:cs typeface="Segoe UI" panose="020B0502040204020203" pitchFamily="34" charset="0"/>
              </a:rPr>
              <a:t>No painel apresentado, clique em </a:t>
            </a:r>
            <a:r>
              <a:rPr lang="pt-pt" sz="1050" b="1">
                <a:latin typeface="Segoe UI" panose="020B0502040204020203" pitchFamily="34" charset="0"/>
                <a:cs typeface="Segoe UI" panose="020B0502040204020203" pitchFamily="34" charset="0"/>
              </a:rPr>
              <a:t>Gráficos</a:t>
            </a:r>
            <a:r>
              <a:rPr lang="pt-pt" sz="1050">
                <a:latin typeface="Segoe UI" panose="020B0502040204020203" pitchFamily="34" charset="0"/>
                <a:cs typeface="Segoe UI" panose="020B0502040204020203" pitchFamily="34" charset="0"/>
              </a:rPr>
              <a:t>.</a:t>
            </a:r>
          </a:p>
          <a:p>
            <a:pPr rtl="0"/>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5653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97" name="Passo" descr="Clique numa célula dentro dos dados à direita e, em seguida, prima as teclas Ctrl e Q">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numa célula dentro dos dados à direita e, em seguida, prima</a:t>
            </a:r>
          </a:p>
        </xdr:txBody>
      </xdr:sp>
      <xdr:sp macro="" textlink="">
        <xdr:nvSpPr>
          <xdr:cNvPr id="98" name="Oval 97" descr="1" hidden="1">
            <a:extLst>
              <a:ext uri="{FF2B5EF4-FFF2-40B4-BE49-F238E27FC236}">
                <a16:creationId xmlns:a16="http://schemas.microsoft.com/office/drawing/2014/main" id="{00000000-0008-0000-0800-000062000000}"/>
              </a:ext>
            </a:extLst>
          </xdr:cNvPr>
          <xdr:cNvSpPr/>
        </xdr:nvSpPr>
        <xdr:spPr>
          <a:xfrm>
            <a:off x="622274" y="73051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00" name="Retângulo: cantos Arredondados 99" descr="Tecla Ctrl">
            <a:extLst>
              <a:ext uri="{FF2B5EF4-FFF2-40B4-BE49-F238E27FC236}">
                <a16:creationId xmlns:a16="http://schemas.microsoft.com/office/drawing/2014/main" id="{00000000-0008-0000-0800-000064000000}"/>
              </a:ext>
            </a:extLst>
          </xdr:cNvPr>
          <xdr:cNvSpPr/>
        </xdr:nvSpPr>
        <xdr:spPr>
          <a:xfrm>
            <a:off x="4801619" y="7336082"/>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tângulo: cantos Arredondados 100" descr="Tecla Q">
            <a:extLst>
              <a:ext uri="{FF2B5EF4-FFF2-40B4-BE49-F238E27FC236}">
                <a16:creationId xmlns:a16="http://schemas.microsoft.com/office/drawing/2014/main" id="{00000000-0008-0000-0800-000065000000}"/>
              </a:ext>
            </a:extLst>
          </xdr:cNvPr>
          <xdr:cNvSpPr/>
        </xdr:nvSpPr>
        <xdr:spPr>
          <a:xfrm>
            <a:off x="5346021" y="733608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171449</xdr:rowOff>
    </xdr:from>
    <xdr:to>
      <xdr:col>1</xdr:col>
      <xdr:colOff>5238750</xdr:colOff>
      <xdr:row>66</xdr:row>
      <xdr:rowOff>171448</xdr:rowOff>
    </xdr:to>
    <xdr:grpSp>
      <xdr:nvGrpSpPr>
        <xdr:cNvPr id="3" name="Criar rapidamente gráficos sparkline"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49"/>
          <a:ext cx="5716905" cy="4000499"/>
          <a:chOff x="390525" y="9801224"/>
          <a:chExt cx="5695950" cy="3931355"/>
        </a:xfrm>
      </xdr:grpSpPr>
      <xdr:sp macro="" textlink="">
        <xdr:nvSpPr>
          <xdr:cNvPr id="121" name="Retângulo 120" descr="Fundo">
            <a:extLst>
              <a:ext uri="{FF2B5EF4-FFF2-40B4-BE49-F238E27FC236}">
                <a16:creationId xmlns:a16="http://schemas.microsoft.com/office/drawing/2014/main" id="{00000000-0008-0000-0800-000079000000}"/>
              </a:ext>
            </a:extLst>
          </xdr:cNvPr>
          <xdr:cNvSpPr/>
        </xdr:nvSpPr>
        <xdr:spPr>
          <a:xfrm>
            <a:off x="390525" y="9801224"/>
            <a:ext cx="5695950" cy="393135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so" descr="Criar rapidamente gráficos sparkline">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Criar rapidamente gráficos sparkline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Conexão Reta 122" descr="Linha decorativa">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800-00007C000000}"/>
              </a:ext>
            </a:extLst>
          </xdr:cNvPr>
          <xdr:cNvCxnSpPr>
            <a:cxnSpLocks/>
          </xdr:cNvCxnSpPr>
        </xdr:nvCxnSpPr>
        <xdr:spPr>
          <a:xfrm>
            <a:off x="625449" y="135405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asso" descr="Imaginemos que pretende que as linhas de tendência à direita destes dados mostrem como os montantes aumentaram ou diminuíram durante os três meses. Não tem de criar oito pequenos gráficos de linhas">
            <a:extLst>
              <a:ext uri="{FF2B5EF4-FFF2-40B4-BE49-F238E27FC236}">
                <a16:creationId xmlns:a16="http://schemas.microsoft.com/office/drawing/2014/main" id="{00000000-0008-0000-0800-00007D000000}"/>
              </a:ext>
            </a:extLst>
          </xdr:cNvPr>
          <xdr:cNvSpPr txBox="1"/>
        </xdr:nvSpPr>
        <xdr:spPr>
          <a:xfrm>
            <a:off x="619125" y="10510472"/>
            <a:ext cx="5300938" cy="65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Imaginemos que pretende que as linhas de tendência à direita destes dados mostrem como os montantes aumentaram ou diminuíram durante os três meses. Não tem de fazer oito pequenos gráficos de linhas. Em vez disso, pode criar gráficos sparkline.</a:t>
            </a:r>
          </a:p>
        </xdr:txBody>
      </xdr:sp>
      <xdr:sp macro="" textlink="">
        <xdr:nvSpPr>
          <xdr:cNvPr id="126" name="Passo" descr="Os gráficos sparkline são apresentados à direita da coluna Dez. Cada linha representa os dados dessa linha e mostra se os montantes aumentaram ou diminuíram">
            <a:extLst>
              <a:ext uri="{FF2B5EF4-FFF2-40B4-BE49-F238E27FC236}">
                <a16:creationId xmlns:a16="http://schemas.microsoft.com/office/drawing/2014/main" id="{00000000-0008-0000-0800-00007E000000}"/>
              </a:ext>
            </a:extLst>
          </xdr:cNvPr>
          <xdr:cNvSpPr txBox="1"/>
        </xdr:nvSpPr>
        <xdr:spPr>
          <a:xfrm>
            <a:off x="1029307" y="12042028"/>
            <a:ext cx="4809517" cy="632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Os gráficos sparkline são apresentados à direita da coluna </a:t>
            </a:r>
            <a:r>
              <a:rPr lang="pt-pt" sz="1100" b="1">
                <a:solidFill>
                  <a:schemeClr val="tx1">
                    <a:lumMod val="75000"/>
                    <a:lumOff val="25000"/>
                  </a:schemeClr>
                </a:solidFill>
                <a:latin typeface="Segoe UI" panose="020B0502040204020203" pitchFamily="34" charset="0"/>
                <a:cs typeface="Segoe UI" panose="020B0502040204020203" pitchFamily="34" charset="0"/>
              </a:rPr>
              <a:t>Dez</a:t>
            </a:r>
            <a:r>
              <a:rPr lang="pt-pt" sz="1100">
                <a:solidFill>
                  <a:schemeClr val="tx1">
                    <a:lumMod val="75000"/>
                    <a:lumOff val="25000"/>
                  </a:schemeClr>
                </a:solidFill>
                <a:latin typeface="Segoe UI" panose="020B0502040204020203" pitchFamily="34" charset="0"/>
                <a:cs typeface="Segoe UI" panose="020B0502040204020203" pitchFamily="34" charset="0"/>
              </a:rPr>
              <a:t>. Cada linha representa os dados dessa linha e mostra se os montantes aumentaram ou diminuíram.</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83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28" name="Passo" descr="Para limpar os gráficos sparkline, clique e arraste para os selecionar. O separador Estrutura das Ferramentas de Gráficos Sparkline será apresentado na parte superior da janela. Aceda ao separador e, em seguida, clique no botão Limpar">
            <a:extLst>
              <a:ext uri="{FF2B5EF4-FFF2-40B4-BE49-F238E27FC236}">
                <a16:creationId xmlns:a16="http://schemas.microsoft.com/office/drawing/2014/main" id="{00000000-0008-0000-0800-000080000000}"/>
              </a:ext>
            </a:extLst>
          </xdr:cNvPr>
          <xdr:cNvSpPr txBox="1"/>
        </xdr:nvSpPr>
        <xdr:spPr>
          <a:xfrm>
            <a:off x="1029307" y="12638545"/>
            <a:ext cx="4857143" cy="84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Para limpar os gráficos sparkline, clique e arraste para os selecionar. O separador </a:t>
            </a:r>
            <a:r>
              <a:rPr lang="pt-pt" sz="1100" b="1">
                <a:solidFill>
                  <a:schemeClr val="tx1">
                    <a:lumMod val="75000"/>
                    <a:lumOff val="25000"/>
                  </a:schemeClr>
                </a:solidFill>
                <a:latin typeface="Segoe UI" panose="020B0502040204020203" pitchFamily="34" charset="0"/>
                <a:cs typeface="Segoe UI" panose="020B0502040204020203" pitchFamily="34" charset="0"/>
              </a:rPr>
              <a:t>Estrutura das Ferramentas de Gráficos Sparkline</a:t>
            </a:r>
            <a:r>
              <a:rPr lang="pt-pt" sz="1100">
                <a:solidFill>
                  <a:schemeClr val="tx1">
                    <a:lumMod val="75000"/>
                    <a:lumOff val="25000"/>
                  </a:schemeClr>
                </a:solidFill>
                <a:latin typeface="Segoe UI" panose="020B0502040204020203" pitchFamily="34" charset="0"/>
                <a:cs typeface="Segoe UI" panose="020B0502040204020203" pitchFamily="34" charset="0"/>
              </a:rPr>
              <a:t> será apresentado na parte superior da janela. Aceda ao separador e, em seguida, clique no botão </a:t>
            </a:r>
            <a:r>
              <a:rPr lang="pt-pt" sz="1100" b="1">
                <a:solidFill>
                  <a:schemeClr val="tx1">
                    <a:lumMod val="75000"/>
                    <a:lumOff val="25000"/>
                  </a:schemeClr>
                </a:solidFill>
                <a:latin typeface="Segoe UI" panose="020B0502040204020203" pitchFamily="34" charset="0"/>
                <a:cs typeface="Segoe UI" panose="020B0502040204020203" pitchFamily="34" charset="0"/>
              </a:rPr>
              <a:t>Limpar</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6709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30" name="Passo" descr="No painel apresentado, clique em Gráficos Sparkline e, em seguida, clique no botão Linha">
            <a:extLst>
              <a:ext uri="{FF2B5EF4-FFF2-40B4-BE49-F238E27FC236}">
                <a16:creationId xmlns:a16="http://schemas.microsoft.com/office/drawing/2014/main" id="{00000000-0008-0000-0800-000082000000}"/>
              </a:ext>
            </a:extLst>
          </xdr:cNvPr>
          <xdr:cNvSpPr txBox="1"/>
        </xdr:nvSpPr>
        <xdr:spPr>
          <a:xfrm>
            <a:off x="1029307" y="11582487"/>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No painel apresentado,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Gráficos Sparkline</a:t>
            </a:r>
            <a:r>
              <a:rPr lang="pt-pt" sz="1100">
                <a:solidFill>
                  <a:schemeClr val="tx1">
                    <a:lumMod val="75000"/>
                    <a:lumOff val="25000"/>
                  </a:schemeClr>
                </a:solidFill>
                <a:latin typeface="Segoe UI" panose="020B0502040204020203" pitchFamily="34" charset="0"/>
                <a:cs typeface="Segoe UI" panose="020B0502040204020203" pitchFamily="34" charset="0"/>
              </a:rPr>
              <a:t> e, em seguida, clique no botão </a:t>
            </a:r>
            <a:r>
              <a:rPr lang="pt-pt" sz="1100" b="1">
                <a:solidFill>
                  <a:schemeClr val="tx1">
                    <a:lumMod val="75000"/>
                    <a:lumOff val="25000"/>
                  </a:schemeClr>
                </a:solidFill>
                <a:latin typeface="Segoe UI" panose="020B0502040204020203" pitchFamily="34" charset="0"/>
                <a:cs typeface="Segoe UI" panose="020B0502040204020203" pitchFamily="34" charset="0"/>
              </a:rPr>
              <a:t>Linha</a:t>
            </a:r>
            <a:r>
              <a:rPr lang="pt-pt"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055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16" name="Passo" descr="Clique numa célula dentro dos dados à direita e, em seguida, prima as teclas Ctrl e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spc="-6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numa célula dentro dos dados à direita e, em seguida, prima</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609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19" name="Retângulo: cantos Arredondados 118" descr="Tecla Ctrl">
            <a:extLst>
              <a:ext uri="{FF2B5EF4-FFF2-40B4-BE49-F238E27FC236}">
                <a16:creationId xmlns:a16="http://schemas.microsoft.com/office/drawing/2014/main" id="{00000000-0008-0000-0800-000077000000}"/>
              </a:ext>
            </a:extLst>
          </xdr:cNvPr>
          <xdr:cNvSpPr/>
        </xdr:nvSpPr>
        <xdr:spPr>
          <a:xfrm>
            <a:off x="4839719" y="11183380"/>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tângulo: cantos Arredondados 119" descr="Tecla Q">
            <a:extLst>
              <a:ext uri="{FF2B5EF4-FFF2-40B4-BE49-F238E27FC236}">
                <a16:creationId xmlns:a16="http://schemas.microsoft.com/office/drawing/2014/main" id="{00000000-0008-0000-0800-000078000000}"/>
              </a:ext>
            </a:extLst>
          </xdr:cNvPr>
          <xdr:cNvSpPr/>
        </xdr:nvSpPr>
        <xdr:spPr>
          <a:xfrm>
            <a:off x="5355546" y="11183380"/>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68</xdr:row>
      <xdr:rowOff>9525</xdr:rowOff>
    </xdr:from>
    <xdr:to>
      <xdr:col>1</xdr:col>
      <xdr:colOff>5238750</xdr:colOff>
      <xdr:row>83</xdr:row>
      <xdr:rowOff>15875</xdr:rowOff>
    </xdr:to>
    <xdr:grpSp>
      <xdr:nvGrpSpPr>
        <xdr:cNvPr id="132" name="Mais Informações na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535025"/>
          <a:ext cx="5716905" cy="2863850"/>
          <a:chOff x="0" y="1"/>
          <a:chExt cx="5695950" cy="2806700"/>
        </a:xfrm>
      </xdr:grpSpPr>
      <xdr:sp macro="" textlink="">
        <xdr:nvSpPr>
          <xdr:cNvPr id="133" name="Retângulo 132" descr="Fundo">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Passo" descr="Mais informações na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Conexão Reta 134" descr="Linha decorativa">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Botão Seguinte" descr="Voltar ao início, com hiperligação para a célula A1">
            <a:hlinkClick xmlns:r="http://schemas.openxmlformats.org/officeDocument/2006/relationships" r:id="rId1" tooltip="Selecione para voltar à célula A1 nesta folha de cálculo"/>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37" name="Conexão Reta 136" descr="Linha decorativa">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800-00008A000000}"/>
              </a:ext>
            </a:extLst>
          </xdr:cNvPr>
          <xdr:cNvSpPr/>
        </xdr:nvSpPr>
        <xdr:spPr>
          <a:xfrm>
            <a:off x="4057650" y="2220914"/>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39" name="Passo" descr="Analisar os seus dados instantaneamente, com hiperligação para a Web">
            <a:hlinkClick xmlns:r="http://schemas.openxmlformats.org/officeDocument/2006/relationships" r:id="rId3" tooltip="Selecione para aceder à Web e saber como analisar os seus dados instantaneamente"/>
            <a:extLst>
              <a:ext uri="{FF2B5EF4-FFF2-40B4-BE49-F238E27FC236}">
                <a16:creationId xmlns:a16="http://schemas.microsoft.com/office/drawing/2014/main" id="{00000000-0008-0000-0800-00008B000000}"/>
              </a:ext>
            </a:extLst>
          </xdr:cNvPr>
          <xdr:cNvSpPr txBox="1"/>
        </xdr:nvSpPr>
        <xdr:spPr>
          <a:xfrm>
            <a:off x="638782" y="794849"/>
            <a:ext cx="3152168"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Analisar os seus dados instantaneamente</a:t>
            </a:r>
          </a:p>
        </xdr:txBody>
      </xdr:sp>
      <xdr:pic>
        <xdr:nvPicPr>
          <xdr:cNvPr id="140"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Passo" descr="Analisar tendências em dados com gráficos sparkline, com hiperligação para a Web">
            <a:hlinkClick xmlns:r="http://schemas.openxmlformats.org/officeDocument/2006/relationships" r:id="rId6" tooltip="Selecione para aceder à Web e saber como analisar tendências em dados com gráficos sparkline"/>
            <a:extLst>
              <a:ext uri="{FF2B5EF4-FFF2-40B4-BE49-F238E27FC236}">
                <a16:creationId xmlns:a16="http://schemas.microsoft.com/office/drawing/2014/main" id="{00000000-0008-0000-0800-00008D000000}"/>
              </a:ext>
            </a:extLst>
          </xdr:cNvPr>
          <xdr:cNvSpPr txBox="1"/>
        </xdr:nvSpPr>
        <xdr:spPr>
          <a:xfrm>
            <a:off x="638783" y="1259456"/>
            <a:ext cx="38855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Analisar tendências em dados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através de gráficos sparkline</a:t>
            </a:r>
          </a:p>
          <a:p>
            <a:pPr lvl="0" rtl="0">
              <a:defRPr/>
            </a:pPr>
            <a:endPar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isar dados rapidamente"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16905" cy="4114800"/>
          <a:chOff x="333375" y="266700"/>
          <a:chExt cx="5695950" cy="4114800"/>
        </a:xfrm>
      </xdr:grpSpPr>
      <xdr:sp macro="" textlink="">
        <xdr:nvSpPr>
          <xdr:cNvPr id="77" name="Retângulo 76" descr="Fundo">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8" name="Passo" descr="Analisar dados rapidamente">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Analisar dados rapidamente</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Conexão Reta 78" descr="Linha decorativa">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Botão Seguinte" descr="Desça para ver mais detalhes">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81" name="Conexão Reta 80" descr="Linha decorativa">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800-000052000000}"/>
              </a:ext>
            </a:extLst>
          </xdr:cNvPr>
          <xdr:cNvSpPr/>
        </xdr:nvSpPr>
        <xdr:spPr>
          <a:xfrm>
            <a:off x="4410075" y="3672826"/>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83" name="Passo" descr="Eis como analisar dados para poder encontrar padrões e tendências rapidamente:">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como analisar dados para poder encontrar padrões e tendências rapidamente:</a:t>
            </a:r>
          </a:p>
        </xdr:txBody>
      </xdr:sp>
      <xdr:sp macro="" textlink="">
        <xdr:nvSpPr>
          <xdr:cNvPr id="84" name="Passo" descr="Clique e arraste para selecionar todas as células à direita e, em seguida, clique neste botão no canto inferior direito:">
            <a:extLst>
              <a:ext uri="{FF2B5EF4-FFF2-40B4-BE49-F238E27FC236}">
                <a16:creationId xmlns:a16="http://schemas.microsoft.com/office/drawing/2014/main" id="{00000000-0008-0000-0800-000054000000}"/>
              </a:ext>
            </a:extLst>
          </xdr:cNvPr>
          <xdr:cNvSpPr txBox="1"/>
        </xdr:nvSpPr>
        <xdr:spPr>
          <a:xfrm>
            <a:off x="972158" y="12744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arraste para selecionar todas as células à direita e, em seguida, clique neste botão no canto inferior direito: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9861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86" name="Passo" descr="No painel apresentado, clique em Barras de Dados. As células abaixo das colunas Out, Nov e Dez obtêm barras de dados especiais que apresentam os seus montantes.">
            <a:extLst>
              <a:ext uri="{FF2B5EF4-FFF2-40B4-BE49-F238E27FC236}">
                <a16:creationId xmlns:a16="http://schemas.microsoft.com/office/drawing/2014/main" id="{00000000-0008-0000-0800-000056000000}"/>
              </a:ext>
            </a:extLst>
          </xdr:cNvPr>
          <xdr:cNvSpPr txBox="1"/>
        </xdr:nvSpPr>
        <xdr:spPr>
          <a:xfrm>
            <a:off x="972157" y="1780404"/>
            <a:ext cx="4809517" cy="696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painel apresentado,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Barras de 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As células abaixo das colunas Out, Nov e Dez obtêm barras de dados especiais que apresentam os seus montantes.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81410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88" name="Passo" descr="Agora imaginemos que pretende eliminar as barras. Clique neste botão novamente:">
            <a:extLst>
              <a:ext uri="{FF2B5EF4-FFF2-40B4-BE49-F238E27FC236}">
                <a16:creationId xmlns:a16="http://schemas.microsoft.com/office/drawing/2014/main" id="{00000000-0008-0000-0800-000058000000}"/>
              </a:ext>
            </a:extLst>
          </xdr:cNvPr>
          <xdr:cNvSpPr txBox="1"/>
        </xdr:nvSpPr>
        <xdr:spPr>
          <a:xfrm>
            <a:off x="972158" y="243692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imaginemos que pretende eliminar as barras. Clique neste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botão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novamente:</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46109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90" name="Passo" descr="No painel apresentado, clique no botão Limpar Formatação à direita">
            <a:extLst>
              <a:ext uri="{FF2B5EF4-FFF2-40B4-BE49-F238E27FC236}">
                <a16:creationId xmlns:a16="http://schemas.microsoft.com/office/drawing/2014/main" id="{00000000-0008-0000-0800-00005A000000}"/>
              </a:ext>
            </a:extLst>
          </xdr:cNvPr>
          <xdr:cNvSpPr txBox="1"/>
        </xdr:nvSpPr>
        <xdr:spPr>
          <a:xfrm>
            <a:off x="972158" y="2954718"/>
            <a:ext cx="4809516" cy="28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painel apresentado, clique no botão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Limpar Formatação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à direita.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9026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pic>
        <xdr:nvPicPr>
          <xdr:cNvPr id="144" name="Imagem 143" descr="Botão Análise Rápida">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3804563" y="1537097"/>
            <a:ext cx="243562" cy="241511"/>
          </a:xfrm>
          <a:prstGeom prst="rect">
            <a:avLst/>
          </a:prstGeom>
        </xdr:spPr>
      </xdr:pic>
      <xdr:pic>
        <xdr:nvPicPr>
          <xdr:cNvPr id="151" name="Imagem 150" descr="Botão Análise Rápida">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1861463" y="2708672"/>
            <a:ext cx="243562" cy="241511"/>
          </a:xfrm>
          <a:prstGeom prst="rect">
            <a:avLst/>
          </a:prstGeom>
        </xdr:spPr>
      </xdr:pic>
    </xdr:grpSp>
    <xdr:clientData/>
  </xdr:twoCellAnchor>
  <xdr:twoCellAnchor editAs="oneCell">
    <xdr:from>
      <xdr:col>2</xdr:col>
      <xdr:colOff>727469</xdr:colOff>
      <xdr:row>13</xdr:row>
      <xdr:rowOff>107155</xdr:rowOff>
    </xdr:from>
    <xdr:to>
      <xdr:col>6</xdr:col>
      <xdr:colOff>771523</xdr:colOff>
      <xdr:row>19</xdr:row>
      <xdr:rowOff>142874</xdr:rowOff>
    </xdr:to>
    <xdr:grpSp>
      <xdr:nvGrpSpPr>
        <xdr:cNvPr id="2" name="INFORMAÇÕES ÚTEIS" descr="INFORMAÇÕES ÚTEIS: Quando seleciona células, este botão é apresentado: Chama-se botão de Análise Rápida. O nome é adequado, não é? Se tiver dúvidas acerca dos dados, clique neste botão e veja se lhe dá algumas respostas. ">
          <a:extLst>
            <a:ext uri="{FF2B5EF4-FFF2-40B4-BE49-F238E27FC236}">
              <a16:creationId xmlns:a16="http://schemas.microsoft.com/office/drawing/2014/main" id="{00000000-0008-0000-0800-000002000000}"/>
            </a:ext>
          </a:extLst>
        </xdr:cNvPr>
        <xdr:cNvGrpSpPr/>
      </xdr:nvGrpSpPr>
      <xdr:grpSpPr>
        <a:xfrm>
          <a:off x="7280669" y="3155155"/>
          <a:ext cx="3831194" cy="1178719"/>
          <a:chOff x="7099696" y="3364706"/>
          <a:chExt cx="3542267" cy="1072754"/>
        </a:xfrm>
      </xdr:grpSpPr>
      <xdr:sp macro="" textlink="">
        <xdr:nvSpPr>
          <xdr:cNvPr id="40" name="Passo" descr="INFORMAÇÕES ÚTEIS&#10;Quando seleciona células, este botão é apresentado:            Chama-se botão de Análise Rápida. O nome é adequado, não é? Se tiver dúvidas acerca dos dados, clique neste botão e veja se lhe dá algumas respostas. &#10;">
            <a:extLst>
              <a:ext uri="{FF2B5EF4-FFF2-40B4-BE49-F238E27FC236}">
                <a16:creationId xmlns:a16="http://schemas.microsoft.com/office/drawing/2014/main" id="{00000000-0008-0000-0800-000028000000}"/>
              </a:ext>
            </a:extLst>
          </xdr:cNvPr>
          <xdr:cNvSpPr txBox="1"/>
        </xdr:nvSpPr>
        <xdr:spPr>
          <a:xfrm>
            <a:off x="7389028" y="3389710"/>
            <a:ext cx="3080637"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Quando seleciona células, este botão é apresentado:</a:t>
            </a:r>
            <a:r>
              <a:rPr lang="pt-pt" sz="1100" kern="0" baseline="0">
                <a:solidFill>
                  <a:schemeClr val="bg2">
                    <a:lumMod val="25000"/>
                  </a:schemeClr>
                </a:solidFill>
                <a:ea typeface="Segoe UI" pitchFamily="34" charset="0"/>
                <a:cs typeface="Segoe UI Light" panose="020B0502040204020203" pitchFamily="34" charset="0"/>
              </a:rPr>
              <a:t>            </a:t>
            </a:r>
            <a:r>
              <a:rPr lang="pt-pt" sz="1100" kern="0">
                <a:solidFill>
                  <a:schemeClr val="bg2">
                    <a:lumMod val="25000"/>
                  </a:schemeClr>
                </a:solidFill>
                <a:ea typeface="Segoe UI" pitchFamily="34" charset="0"/>
                <a:cs typeface="Segoe UI Light" panose="020B0502040204020203" pitchFamily="34" charset="0"/>
              </a:rPr>
              <a:t>Chama-se botão de </a:t>
            </a:r>
            <a:r>
              <a:rPr lang="pt-pt" sz="1100" b="1" kern="0">
                <a:solidFill>
                  <a:schemeClr val="bg2">
                    <a:lumMod val="25000"/>
                  </a:schemeClr>
                </a:solidFill>
                <a:ea typeface="Segoe UI" pitchFamily="34" charset="0"/>
                <a:cs typeface="Segoe UI Light" panose="020B0502040204020203" pitchFamily="34" charset="0"/>
              </a:rPr>
              <a:t>Análise Rápida</a:t>
            </a:r>
            <a:r>
              <a:rPr lang="pt-pt" sz="1100" kern="0">
                <a:solidFill>
                  <a:schemeClr val="bg2">
                    <a:lumMod val="25000"/>
                  </a:schemeClr>
                </a:solidFill>
                <a:ea typeface="Segoe UI" pitchFamily="34" charset="0"/>
                <a:cs typeface="Segoe UI Light" panose="020B0502040204020203" pitchFamily="34" charset="0"/>
              </a:rPr>
              <a:t>. O nome</a:t>
            </a:r>
            <a:r>
              <a:rPr lang="pt-pt" sz="1100" kern="0" baseline="0">
                <a:solidFill>
                  <a:schemeClr val="bg2">
                    <a:lumMod val="25000"/>
                  </a:schemeClr>
                </a:solidFill>
                <a:ea typeface="Segoe UI" pitchFamily="34" charset="0"/>
                <a:cs typeface="Segoe UI Light" panose="020B0502040204020203" pitchFamily="34" charset="0"/>
              </a:rPr>
              <a:t> é adequado, não é? Se tiver dúvidas acerca dos dados, clique neste botão e veja se lhe dá algumas respostas.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áfico 147" descr="Óculo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Imagem 151" descr="Botão Análise Rápida">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10398401" y="3558215"/>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876300</xdr:colOff>
      <xdr:row>21</xdr:row>
      <xdr:rowOff>146685</xdr:rowOff>
    </xdr:to>
    <xdr:grpSp>
      <xdr:nvGrpSpPr>
        <xdr:cNvPr id="5" name="Grupo 4" descr="PONTOS EXTRA&#10;Quer uma tabela de dados diretamente abaixo do gráfico? Clique no gráfico. No separador Ferramentas de Gráfico, clique em Estrutura. Em seguida, clique em Adicionar Elemento de Gráfico &gt; Tabela  de Dados &gt;  com  Marcas de Legenda.&#10;">
          <a:extLst>
            <a:ext uri="{FF2B5EF4-FFF2-40B4-BE49-F238E27FC236}">
              <a16:creationId xmlns:a16="http://schemas.microsoft.com/office/drawing/2014/main" id="{FBAEC2C8-8F29-4E3B-9074-EB1EF5E2CFA5}"/>
            </a:ext>
          </a:extLst>
        </xdr:cNvPr>
        <xdr:cNvGrpSpPr/>
      </xdr:nvGrpSpPr>
      <xdr:grpSpPr>
        <a:xfrm>
          <a:off x="7277100" y="3209925"/>
          <a:ext cx="2956560" cy="1508760"/>
          <a:chOff x="7096125" y="3419475"/>
          <a:chExt cx="2876550" cy="1257300"/>
        </a:xfrm>
      </xdr:grpSpPr>
      <xdr:sp macro="" textlink="">
        <xdr:nvSpPr>
          <xdr:cNvPr id="40" name="Passo" descr="PONTOS EXTRA&#10;Quer uma tabela de dados diretamente abaixo do gráfico? Clique no gráfico. No separador Ferramentas de Gráfico, clique em Estrutura. Em seguida, clique em Adicionar Elemento de Gráfico &gt; Tabela  de Dados &gt;  com  Marcas de Legenda.&#10;">
            <a:extLst>
              <a:ext uri="{FF2B5EF4-FFF2-40B4-BE49-F238E27FC236}">
                <a16:creationId xmlns:a16="http://schemas.microsoft.com/office/drawing/2014/main" id="{00000000-0008-0000-0900-000028000000}"/>
              </a:ext>
            </a:extLst>
          </xdr:cNvPr>
          <xdr:cNvSpPr txBox="1"/>
        </xdr:nvSpPr>
        <xdr:spPr>
          <a:xfrm>
            <a:off x="7455706" y="3419475"/>
            <a:ext cx="25169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Quer uma tabela de dados diretamente abaixo</a:t>
            </a:r>
            <a:r>
              <a:rPr lang="pt-pt" sz="1100" kern="0" baseline="0">
                <a:solidFill>
                  <a:schemeClr val="bg2">
                    <a:lumMod val="25000"/>
                  </a:schemeClr>
                </a:solidFill>
                <a:ea typeface="Segoe UI" pitchFamily="34" charset="0"/>
                <a:cs typeface="Segoe UI Light" panose="020B0502040204020203" pitchFamily="34" charset="0"/>
              </a:rPr>
              <a:t> do gráfico? Clique no gráfico. No separador </a:t>
            </a:r>
            <a:r>
              <a:rPr lang="pt-pt" sz="1100" b="1" kern="0" baseline="0">
                <a:solidFill>
                  <a:schemeClr val="bg2">
                    <a:lumMod val="25000"/>
                  </a:schemeClr>
                </a:solidFill>
                <a:ea typeface="Segoe UI" pitchFamily="34" charset="0"/>
                <a:cs typeface="Segoe UI Light" panose="020B0502040204020203" pitchFamily="34" charset="0"/>
              </a:rPr>
              <a:t>Ferramentas de Gráfico</a:t>
            </a:r>
            <a:r>
              <a:rPr lang="pt-pt" sz="1100" kern="0" baseline="0">
                <a:solidFill>
                  <a:schemeClr val="bg2">
                    <a:lumMod val="25000"/>
                  </a:schemeClr>
                </a:solidFill>
                <a:ea typeface="Segoe UI" pitchFamily="34" charset="0"/>
                <a:cs typeface="Segoe UI Light" panose="020B0502040204020203" pitchFamily="34" charset="0"/>
              </a:rPr>
              <a:t>, clique em </a:t>
            </a:r>
            <a:r>
              <a:rPr lang="pt-pt" sz="1100" b="1" kern="0" baseline="0">
                <a:solidFill>
                  <a:schemeClr val="bg2">
                    <a:lumMod val="25000"/>
                  </a:schemeClr>
                </a:solidFill>
                <a:ea typeface="Segoe UI" pitchFamily="34" charset="0"/>
                <a:cs typeface="Segoe UI Light" panose="020B0502040204020203" pitchFamily="34" charset="0"/>
              </a:rPr>
              <a:t>Estrutura</a:t>
            </a:r>
            <a:r>
              <a:rPr lang="pt-pt" sz="1100" kern="0" baseline="0">
                <a:solidFill>
                  <a:schemeClr val="bg2">
                    <a:lumMod val="25000"/>
                  </a:schemeClr>
                </a:solidFill>
                <a:ea typeface="Segoe UI" pitchFamily="34" charset="0"/>
                <a:cs typeface="Segoe UI Light" panose="020B0502040204020203" pitchFamily="34" charset="0"/>
              </a:rPr>
              <a:t>. Em seguida, clique em </a:t>
            </a:r>
            <a:r>
              <a:rPr lang="pt-pt" sz="1100" b="1" kern="0" baseline="0">
                <a:solidFill>
                  <a:schemeClr val="bg2">
                    <a:lumMod val="25000"/>
                  </a:schemeClr>
                </a:solidFill>
                <a:ea typeface="Segoe UI" pitchFamily="34" charset="0"/>
                <a:cs typeface="Segoe UI Light" panose="020B0502040204020203" pitchFamily="34" charset="0"/>
              </a:rPr>
              <a:t>Adicionar Elemento de Gráfico</a:t>
            </a:r>
            <a:r>
              <a:rPr lang="pt-pt" sz="1100" kern="0" baseline="0">
                <a:solidFill>
                  <a:schemeClr val="bg2">
                    <a:lumMod val="25000"/>
                  </a:schemeClr>
                </a:solidFill>
                <a:ea typeface="Segoe UI" pitchFamily="34" charset="0"/>
                <a:cs typeface="Segoe UI Light" panose="020B0502040204020203" pitchFamily="34" charset="0"/>
              </a:rPr>
              <a:t> &gt; </a:t>
            </a:r>
            <a:r>
              <a:rPr lang="pt-pt" sz="1100" b="1" kern="0" baseline="0">
                <a:solidFill>
                  <a:schemeClr val="bg2">
                    <a:lumMod val="25000"/>
                  </a:schemeClr>
                </a:solidFill>
                <a:ea typeface="Segoe UI" pitchFamily="34" charset="0"/>
                <a:cs typeface="Segoe UI Light" panose="020B0502040204020203" pitchFamily="34" charset="0"/>
              </a:rPr>
              <a:t>Tabela</a:t>
            </a:r>
            <a:r>
              <a:rPr lang="pt-pt" sz="1100" kern="0" baseline="0">
                <a:solidFill>
                  <a:schemeClr val="bg2">
                    <a:lumMod val="25000"/>
                  </a:schemeClr>
                </a:solidFill>
                <a:ea typeface="Segoe UI" pitchFamily="34" charset="0"/>
                <a:cs typeface="Segoe UI Light" panose="020B0502040204020203" pitchFamily="34" charset="0"/>
              </a:rPr>
              <a:t> </a:t>
            </a:r>
            <a:r>
              <a:rPr lang="pt-pt" sz="1100" b="1" kern="0" baseline="0">
                <a:solidFill>
                  <a:schemeClr val="bg2">
                    <a:lumMod val="25000"/>
                  </a:schemeClr>
                </a:solidFill>
                <a:ea typeface="Segoe UI" pitchFamily="34" charset="0"/>
                <a:cs typeface="Segoe UI Light" panose="020B0502040204020203" pitchFamily="34" charset="0"/>
              </a:rPr>
              <a:t>de Dados &gt; com</a:t>
            </a:r>
            <a:r>
              <a:rPr lang="pt-pt" sz="1100" kern="0" baseline="0">
                <a:solidFill>
                  <a:schemeClr val="bg2">
                    <a:lumMod val="25000"/>
                  </a:schemeClr>
                </a:solidFill>
                <a:ea typeface="Segoe UI" pitchFamily="34" charset="0"/>
                <a:cs typeface="Segoe UI Light" panose="020B0502040204020203" pitchFamily="34" charset="0"/>
              </a:rPr>
              <a:t> </a:t>
            </a:r>
            <a:r>
              <a:rPr lang="pt-pt" sz="1100" b="1" kern="0" baseline="0">
                <a:solidFill>
                  <a:schemeClr val="bg2">
                    <a:lumMod val="25000"/>
                  </a:schemeClr>
                </a:solidFill>
                <a:ea typeface="Segoe UI" pitchFamily="34" charset="0"/>
                <a:cs typeface="Segoe UI Light" panose="020B0502040204020203" pitchFamily="34" charset="0"/>
              </a:rPr>
              <a:t>Marcas de Legenda</a:t>
            </a:r>
            <a:r>
              <a:rPr lang="pt-pt"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9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396240"/>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áficos fantásticos, recomendados para si"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16905" cy="4619625"/>
          <a:chOff x="0" y="0"/>
          <a:chExt cx="5695950" cy="4619625"/>
        </a:xfrm>
      </xdr:grpSpPr>
      <xdr:sp macro="" textlink="">
        <xdr:nvSpPr>
          <xdr:cNvPr id="78" name="Retângulo 77" descr="Fundo">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Passo" descr="Gráficos fantásticos, recomendados para si">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Gráficos fantásticos, recomendados para si</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901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900-000052000000}"/>
              </a:ext>
            </a:extLst>
          </xdr:cNvPr>
          <xdr:cNvCxnSpPr>
            <a:cxnSpLocks/>
          </xdr:cNvCxnSpPr>
        </xdr:nvCxnSpPr>
        <xdr:spPr>
          <a:xfrm>
            <a:off x="234924" y="3695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hiperligação para a folha seguinte">
            <a:hlinkClick xmlns:r="http://schemas.openxmlformats.org/officeDocument/2006/relationships" r:id="rId4" tooltip="Selecione para ir para o passo seguinte"/>
            <a:extLst>
              <a:ext uri="{FF2B5EF4-FFF2-40B4-BE49-F238E27FC236}">
                <a16:creationId xmlns:a16="http://schemas.microsoft.com/office/drawing/2014/main" id="{00000000-0008-0000-0900-000053000000}"/>
              </a:ext>
            </a:extLst>
          </xdr:cNvPr>
          <xdr:cNvSpPr/>
        </xdr:nvSpPr>
        <xdr:spPr>
          <a:xfrm>
            <a:off x="4076700" y="389013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84" name="Passo" descr="Clique em qualquer parte dos dados à direita e, em seguida, clique em Inserir &gt; Gráficos Recomendados">
            <a:extLst>
              <a:ext uri="{FF2B5EF4-FFF2-40B4-BE49-F238E27FC236}">
                <a16:creationId xmlns:a16="http://schemas.microsoft.com/office/drawing/2014/main" id="{00000000-0008-0000-0900-000054000000}"/>
              </a:ext>
            </a:extLst>
          </xdr:cNvPr>
          <xdr:cNvSpPr txBox="1"/>
        </xdr:nvSpPr>
        <xdr:spPr>
          <a:xfrm>
            <a:off x="638783" y="757127"/>
            <a:ext cx="4933342"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qualquer parte dos dados à direita e, em seguida,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Recomendados</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86" name="Passo" descr="Verá várias recomendações. Clique no segundo à esquerda, chamado Colunas Agrupadas. Em seguida, clique em OK.">
            <a:extLst>
              <a:ext uri="{FF2B5EF4-FFF2-40B4-BE49-F238E27FC236}">
                <a16:creationId xmlns:a16="http://schemas.microsoft.com/office/drawing/2014/main" id="{00000000-0008-0000-0900-000056000000}"/>
              </a:ext>
            </a:extLst>
          </xdr:cNvPr>
          <xdr:cNvSpPr txBox="1"/>
        </xdr:nvSpPr>
        <xdr:spPr>
          <a:xfrm>
            <a:off x="638782" y="1271677"/>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Verá várias recomendações. Clique no segundo à esquerda, chamado Colunas Agrupadas. Em seguida,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88" name="Passo" descr="É apresentado um gráfico de colunas que mostra o número total de participantes na conferência por ano. Pode movê-lo para onde quiser">
            <a:extLst>
              <a:ext uri="{FF2B5EF4-FFF2-40B4-BE49-F238E27FC236}">
                <a16:creationId xmlns:a16="http://schemas.microsoft.com/office/drawing/2014/main" id="{00000000-0008-0000-0900-000058000000}"/>
              </a:ext>
            </a:extLst>
          </xdr:cNvPr>
          <xdr:cNvSpPr txBox="1"/>
        </xdr:nvSpPr>
        <xdr:spPr>
          <a:xfrm>
            <a:off x="638783" y="1749757"/>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É apresentado um gráfico de colunas a mostrar o número total de participantes na conferência por ano. Pode movê-lo para onde quiser.</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90" name="Passo" descr="Agora adicione uma linha de tendência. Selecione o gráfico, e o separador Ferramentas de Gráfico irá aparecer na parte superior da janela do Excel">
            <a:extLst>
              <a:ext uri="{FF2B5EF4-FFF2-40B4-BE49-F238E27FC236}">
                <a16:creationId xmlns:a16="http://schemas.microsoft.com/office/drawing/2014/main" id="{00000000-0008-0000-0900-00005A000000}"/>
              </a:ext>
            </a:extLst>
          </xdr:cNvPr>
          <xdr:cNvSpPr txBox="1"/>
        </xdr:nvSpPr>
        <xdr:spPr>
          <a:xfrm>
            <a:off x="638783" y="2264882"/>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adicione uma linha de tendência. Selecione o gráfico e o separador</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Ferramentas de Gráfico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irá aparecer na parte superior da janela do Excel.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92" name="Passo" descr="No separador Ferramentas de Gráfico, clique em Estrutura. Em seguida, clique em Adicionar Elemento de Gráfico &gt; Linha de Tendência &gt; Linear. Agora tem uma linha de tendência que mostra uma ideia geral das unidades vendidas ao longo do tempo">
            <a:extLst>
              <a:ext uri="{FF2B5EF4-FFF2-40B4-BE49-F238E27FC236}">
                <a16:creationId xmlns:a16="http://schemas.microsoft.com/office/drawing/2014/main" id="{00000000-0008-0000-0900-00005C000000}"/>
              </a:ext>
            </a:extLst>
          </xdr:cNvPr>
          <xdr:cNvSpPr txBox="1"/>
        </xdr:nvSpPr>
        <xdr:spPr>
          <a:xfrm>
            <a:off x="638783" y="2813461"/>
            <a:ext cx="4809516" cy="825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separador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Ferramentas de Gráfico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Estrutura</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seguida,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Adicionar Elemento de Gráfico </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Linha de Tendência</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tem uma linha de tendência que mostra a direção geral das unidades vendidas ao longo do tempo.</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Eixos horizontal e vertical"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16905" cy="4619625"/>
          <a:chOff x="390525" y="5943600"/>
          <a:chExt cx="5695950" cy="4619625"/>
        </a:xfrm>
      </xdr:grpSpPr>
      <xdr:sp macro="" textlink="">
        <xdr:nvSpPr>
          <xdr:cNvPr id="100" name="Retângulo 99" descr="Fundo">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1" name="Conexão Reta 100" descr="Linha decorativa">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Conexão Reta 101" descr="Linha decorativa">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Passo" descr="Eixos horizontal e vertical">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Eixos horizontal e vertical</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Passo"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escola, poderá ter aprendido que existe um eixo x e um eixo y. O Excel também tem estes dois eixos, mas com nomes diferentes.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Excel são denominados da seguinte forma:</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eixo x na parte inferior é denominado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horizontal</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eixo y que vai para cima e para baixo é denominado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vertical</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Cada eixo pode ser um eixo de valores ou um eixo de categoria. </a:t>
            </a: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de valores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representa valores numéricos. Por exemplo, um eixo de valores pode representar euros, horas, duração, temperatura e assim sucessivamente. O eixo vertical no lado direito é um eixo de valores. </a:t>
            </a: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de categoria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representa coisas como datas, nomes de pessoas, nomes de produtos. O eixo horizontal no lado direito contém os anos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pelo que se trata de um eixo de categoria.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6</xdr:col>
      <xdr:colOff>195311</xdr:colOff>
      <xdr:row>64</xdr:row>
      <xdr:rowOff>171450</xdr:rowOff>
    </xdr:to>
    <xdr:grpSp>
      <xdr:nvGrpSpPr>
        <xdr:cNvPr id="14" name="Gráfico de eixo secundário" descr="Gráfico de Combinação">
          <a:extLst>
            <a:ext uri="{FF2B5EF4-FFF2-40B4-BE49-F238E27FC236}">
              <a16:creationId xmlns:a16="http://schemas.microsoft.com/office/drawing/2014/main" id="{00000000-0008-0000-0900-00000E000000}"/>
            </a:ext>
          </a:extLst>
        </xdr:cNvPr>
        <xdr:cNvGrpSpPr/>
      </xdr:nvGrpSpPr>
      <xdr:grpSpPr>
        <a:xfrm>
          <a:off x="7524750" y="10420350"/>
          <a:ext cx="5594081" cy="2514600"/>
          <a:chOff x="7315200" y="10839450"/>
          <a:chExt cx="5443586" cy="2514600"/>
        </a:xfrm>
      </xdr:grpSpPr>
      <xdr:sp macro="" textlink="">
        <xdr:nvSpPr>
          <xdr:cNvPr id="131" name="Forma livre: forma 130" descr="Linha de chavetas">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2" name="Forma Livre: Forma 131" descr="Linha de chavetas">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Arco 132" descr="Linha de chavetas">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Arco 133" descr="Linha de chavetas">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0" name="Passo" descr="Eixo secundário">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a:t>
            </a:r>
          </a:p>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secundário</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129" name="Gráfico 128" descr="Gráfico de Combinação">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Eixo secundário"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16905" cy="2781300"/>
          <a:chOff x="390525" y="10810875"/>
          <a:chExt cx="5695950" cy="2676525"/>
        </a:xfrm>
      </xdr:grpSpPr>
      <xdr:sp macro="" textlink="">
        <xdr:nvSpPr>
          <xdr:cNvPr id="122" name="Retângulo 121" descr="Fundo">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23" name="Conexão Reta 122" descr="Linha decorativa">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Eixo secundário">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Eixo secundário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Passo"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pode utilizar um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secundário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num gráfico. Um eixo secundário é um eixo de valores adicional que pode apresentar valores diferentes do outro eixo de valores. </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À direita, está um exemplo comum. É o mesmo que o gráfico acima, mas tem um eixo vertical secundário adicional que representa os valores de vendas de cada mês. Pode dizer-se que, ao ter um eixo secundário, quase temos "dois gráficos num só". Isso é verdade. Este gráfico é um gráfico de colunas e um gráfico de linhas. Estes tipos de gráficos são denominados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 de Combinação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 Excel. Se estiver interessado neste tipo de gráfico, clique na ligação no final desta folha.</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5372100</xdr:colOff>
      <xdr:row>29</xdr:row>
      <xdr:rowOff>85725</xdr:rowOff>
    </xdr:from>
    <xdr:to>
      <xdr:col>5</xdr:col>
      <xdr:colOff>866775</xdr:colOff>
      <xdr:row>46</xdr:row>
      <xdr:rowOff>61120</xdr:rowOff>
    </xdr:to>
    <xdr:grpSp>
      <xdr:nvGrpSpPr>
        <xdr:cNvPr id="10" name="Gráfico de eixos horizontal e vertical" descr="Gráfico a mostrar os eixos Vertical e Horizontal">
          <a:extLst>
            <a:ext uri="{FF2B5EF4-FFF2-40B4-BE49-F238E27FC236}">
              <a16:creationId xmlns:a16="http://schemas.microsoft.com/office/drawing/2014/main" id="{00000000-0008-0000-0900-00000A000000}"/>
            </a:ext>
          </a:extLst>
        </xdr:cNvPr>
        <xdr:cNvGrpSpPr/>
      </xdr:nvGrpSpPr>
      <xdr:grpSpPr>
        <a:xfrm>
          <a:off x="6240780" y="6181725"/>
          <a:ext cx="5842635" cy="3213895"/>
          <a:chOff x="5915025" y="6600825"/>
          <a:chExt cx="5553075" cy="3213895"/>
        </a:xfrm>
      </xdr:grpSpPr>
      <xdr:sp macro="" textlink="">
        <xdr:nvSpPr>
          <xdr:cNvPr id="116" name="Passo" descr="Eixo de categoria">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de categoria)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94" name="Gráfico 93" descr="Gráfico">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orma livre: forma 135" descr="Linha de chavetas">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7" name="Forma Livre: Forma 136" descr="Linha de chavetas">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8" name="Arco 137" descr="Linha de chavetas">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9" name="Arco 138" descr="Linha de chavetas">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Passo" descr="Eixo horizontal">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horizontal</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10" name="Passo" descr="Eixo vertical">
            <a:extLst>
              <a:ext uri="{FF2B5EF4-FFF2-40B4-BE49-F238E27FC236}">
                <a16:creationId xmlns:a16="http://schemas.microsoft.com/office/drawing/2014/main" id="{00000000-0008-0000-0900-00006E000000}"/>
              </a:ext>
            </a:extLst>
          </xdr:cNvPr>
          <xdr:cNvSpPr txBox="1"/>
        </xdr:nvSpPr>
        <xdr:spPr>
          <a:xfrm>
            <a:off x="591502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vertical</a:t>
            </a:r>
          </a:p>
        </xdr:txBody>
      </xdr:sp>
      <xdr:sp macro="" textlink="">
        <xdr:nvSpPr>
          <xdr:cNvPr id="115" name="Passo" descr="Eixo de valores">
            <a:extLst>
              <a:ext uri="{FF2B5EF4-FFF2-40B4-BE49-F238E27FC236}">
                <a16:creationId xmlns:a16="http://schemas.microsoft.com/office/drawing/2014/main" id="{00000000-0008-0000-0900-000073000000}"/>
              </a:ext>
            </a:extLst>
          </xdr:cNvPr>
          <xdr:cNvSpPr txBox="1"/>
        </xdr:nvSpPr>
        <xdr:spPr>
          <a:xfrm>
            <a:off x="591502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de valores)</a:t>
            </a:r>
          </a:p>
        </xdr:txBody>
      </xdr:sp>
      <xdr:sp macro="" textlink="">
        <xdr:nvSpPr>
          <xdr:cNvPr id="142" name="Forma livre: forma 141" descr="Linha de chavetas">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3" name="Forma Livre: Forma 142" descr="Linha de chavetas">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Arco 143" descr="Linha de chavetas">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5" name="Arco 144" descr="Linha de chavetas">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ais Informações na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16905" cy="3267075"/>
          <a:chOff x="0" y="0"/>
          <a:chExt cx="5695950" cy="3267075"/>
        </a:xfrm>
      </xdr:grpSpPr>
      <xdr:sp macro="" textlink="">
        <xdr:nvSpPr>
          <xdr:cNvPr id="147" name="Retângulo 146" descr="Fundo">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8" name="Passo" descr="Mais informações na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Conexão Reta 148" descr="Linha decorativa">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Voltar ao início, com hiperligação para a célula A1">
            <a:hlinkClick xmlns:r="http://schemas.openxmlformats.org/officeDocument/2006/relationships" r:id="rId7" tooltip="Selecione para voltar à célula A1 nesta folha de cálculo"/>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51" name="Conexão Reta 150" descr="Linha decorativa">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Botão Seguinte" descr="Botão Passo seguinte, com hiperligação para a folha seguinte">
            <a:hlinkClick xmlns:r="http://schemas.openxmlformats.org/officeDocument/2006/relationships" r:id="rId4" tooltip="Selecione para ir para o passo seguinte"/>
            <a:extLst>
              <a:ext uri="{FF2B5EF4-FFF2-40B4-BE49-F238E27FC236}">
                <a16:creationId xmlns:a16="http://schemas.microsoft.com/office/drawing/2014/main" id="{00000000-0008-0000-0900-000098000000}"/>
              </a:ext>
            </a:extLst>
          </xdr:cNvPr>
          <xdr:cNvSpPr/>
        </xdr:nvSpPr>
        <xdr:spPr>
          <a:xfrm>
            <a:off x="4086224" y="2693277"/>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53" name="Passo" descr="Criar um gráfico do início ao fim, com hiperligação para a Web">
            <a:hlinkClick xmlns:r="http://schemas.openxmlformats.org/officeDocument/2006/relationships" r:id="rId8" tooltip="Selecione para aceder à Web e saber como criar um gráfico do início ao fim"/>
            <a:extLst>
              <a:ext uri="{FF2B5EF4-FFF2-40B4-BE49-F238E27FC236}">
                <a16:creationId xmlns:a16="http://schemas.microsoft.com/office/drawing/2014/main" id="{00000000-0008-0000-0900-000099000000}"/>
              </a:ext>
            </a:extLst>
          </xdr:cNvPr>
          <xdr:cNvSpPr txBox="1"/>
        </xdr:nvSpPr>
        <xdr:spPr>
          <a:xfrm>
            <a:off x="638783" y="794849"/>
            <a:ext cx="32474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 gráfico do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princípio</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ao fim</a:t>
            </a:r>
          </a:p>
        </xdr:txBody>
      </xdr:sp>
      <xdr:pic>
        <xdr:nvPicPr>
          <xdr:cNvPr id="15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Passo" descr="Criar um gráfico de combinação com um eixo secundário, com hiperligação para a Web">
            <a:hlinkClick xmlns:r="http://schemas.openxmlformats.org/officeDocument/2006/relationships" r:id="rId11" tooltip="Selecione para aceder à Web e saber como criar um gráfico de combinação com um eixo secundário"/>
            <a:extLst>
              <a:ext uri="{FF2B5EF4-FFF2-40B4-BE49-F238E27FC236}">
                <a16:creationId xmlns:a16="http://schemas.microsoft.com/office/drawing/2014/main" id="{00000000-0008-0000-0900-00009B000000}"/>
              </a:ext>
            </a:extLst>
          </xdr:cNvPr>
          <xdr:cNvSpPr txBox="1"/>
        </xdr:nvSpPr>
        <xdr:spPr>
          <a:xfrm>
            <a:off x="638783" y="1259456"/>
            <a:ext cx="39141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 gráfico de combinação com um eixo secundário</a:t>
            </a:r>
          </a:p>
        </xdr:txBody>
      </xdr:sp>
      <xdr:pic>
        <xdr:nvPicPr>
          <xdr:cNvPr id="156"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Passo" descr="Tipos de gráficos disponíveis no Office, com hiperligação para a Web">
            <a:hlinkClick xmlns:r="http://schemas.openxmlformats.org/officeDocument/2006/relationships" r:id="rId12" tooltip="Selecione para aceder à Web e saber mais sobre os tipos de gráficos disponíveis no Office"/>
            <a:extLst>
              <a:ext uri="{FF2B5EF4-FFF2-40B4-BE49-F238E27FC236}">
                <a16:creationId xmlns:a16="http://schemas.microsoft.com/office/drawing/2014/main" id="{00000000-0008-0000-0900-00009D000000}"/>
              </a:ext>
            </a:extLst>
          </xdr:cNvPr>
          <xdr:cNvSpPr txBox="1"/>
        </xdr:nvSpPr>
        <xdr:spPr>
          <a:xfrm>
            <a:off x="638783" y="1726622"/>
            <a:ext cx="33426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Tipos de gráficos disponíveis no Office</a:t>
            </a:r>
          </a:p>
        </xdr:txBody>
      </xdr:sp>
      <xdr:pic>
        <xdr:nvPicPr>
          <xdr:cNvPr id="158"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Dados do eixo secundário" descr="Os dados a partir dos quais o eixo secundário acima foi criado">
          <a:extLst>
            <a:ext uri="{FF2B5EF4-FFF2-40B4-BE49-F238E27FC236}">
              <a16:creationId xmlns:a16="http://schemas.microsoft.com/office/drawing/2014/main" id="{00000000-0008-0000-0900-000002000000}"/>
            </a:ext>
          </a:extLst>
        </xdr:cNvPr>
        <xdr:cNvGrpSpPr/>
      </xdr:nvGrpSpPr>
      <xdr:grpSpPr>
        <a:xfrm>
          <a:off x="13028295" y="13392149"/>
          <a:ext cx="1485900" cy="1143001"/>
          <a:chOff x="11627124" y="13830299"/>
          <a:chExt cx="1447800" cy="1143001"/>
        </a:xfrm>
      </xdr:grpSpPr>
      <xdr:sp macro="" textlink="">
        <xdr:nvSpPr>
          <xdr:cNvPr id="160" name="Forma livre: forma 159" descr="Linha de chavetas">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1" name="Forma livre: forma 160" descr="Linha de chavetas">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2" name="Arco 161" descr="Linha de chavetas">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3" name="Arco 162" descr="Linha de chavetas">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4" name="Passo" descr="Os dados a partir dos quais o eixo secundário acima foi criado">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Os dados a partir dos quais o eixo secundário acima foi criado</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pSp>
    <xdr:clientData/>
  </xdr:twoCellAnchor>
  <xdr:twoCellAnchor editAs="oneCell">
    <xdr:from>
      <xdr:col>2</xdr:col>
      <xdr:colOff>724559</xdr:colOff>
      <xdr:row>74</xdr:row>
      <xdr:rowOff>0</xdr:rowOff>
    </xdr:from>
    <xdr:to>
      <xdr:col>4</xdr:col>
      <xdr:colOff>1238251</xdr:colOff>
      <xdr:row>83</xdr:row>
      <xdr:rowOff>133350</xdr:rowOff>
    </xdr:to>
    <xdr:grpSp>
      <xdr:nvGrpSpPr>
        <xdr:cNvPr id="3" name="PONTOS EXTRA" descr="PONTOS EXTRA: Experimente criar um gráfico de combinação. Selecione os dados acima e, em seguida, clique em Inserir &gt; Gráficos Recomendados. Na parte superior, clique no separador Todos os Gráficos e, em seguida, clique em Combinação na parte inferior. À direita, clique na caixa de verificação Eixo Secundário para as Vendas de Alimentação.">
          <a:extLst>
            <a:ext uri="{FF2B5EF4-FFF2-40B4-BE49-F238E27FC236}">
              <a16:creationId xmlns:a16="http://schemas.microsoft.com/office/drawing/2014/main" id="{00000000-0008-0000-0900-000003000000}"/>
            </a:ext>
          </a:extLst>
        </xdr:cNvPr>
        <xdr:cNvGrpSpPr/>
      </xdr:nvGrpSpPr>
      <xdr:grpSpPr>
        <a:xfrm>
          <a:off x="7277759" y="14668500"/>
          <a:ext cx="3317852" cy="1847850"/>
          <a:chOff x="7096125" y="15201900"/>
          <a:chExt cx="3238553" cy="1847850"/>
        </a:xfrm>
      </xdr:grpSpPr>
      <xdr:sp macro="" textlink="">
        <xdr:nvSpPr>
          <xdr:cNvPr id="165" name="Passo" descr="PONTOS EXTRA&#10;Experimente fazer um gráfico de combinação. Selecione os dados acima e, em seguida, clique em Inserir &gt; Gráficos Recomendados. Na parte superior, clique no separador Todos os Gráficos e, em seguida, clique em Combinação na parte inferior. À direita, clique na caixa de verificação Eixo Secundário para as vendas de Alimentação.&#10;">
            <a:extLst>
              <a:ext uri="{FF2B5EF4-FFF2-40B4-BE49-F238E27FC236}">
                <a16:creationId xmlns:a16="http://schemas.microsoft.com/office/drawing/2014/main" id="{00000000-0008-0000-0900-0000A5000000}"/>
              </a:ext>
            </a:extLst>
          </xdr:cNvPr>
          <xdr:cNvSpPr txBox="1"/>
        </xdr:nvSpPr>
        <xdr:spPr>
          <a:xfrm>
            <a:off x="7455706" y="15201900"/>
            <a:ext cx="2878972" cy="184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Experimente fazer um gráfico de combinação</a:t>
            </a:r>
            <a:r>
              <a:rPr lang="pt-pt" sz="1100" kern="0" baseline="0">
                <a:solidFill>
                  <a:schemeClr val="bg2">
                    <a:lumMod val="25000"/>
                  </a:schemeClr>
                </a:solidFill>
                <a:ea typeface="Segoe UI" pitchFamily="34" charset="0"/>
                <a:cs typeface="Segoe UI Light" panose="020B0502040204020203" pitchFamily="34" charset="0"/>
              </a:rPr>
              <a:t>. Selecione os dados acima e, em seguida, clique em </a:t>
            </a:r>
            <a:r>
              <a:rPr lang="pt-pt" sz="1100" b="1" kern="0" baseline="0">
                <a:solidFill>
                  <a:schemeClr val="bg2">
                    <a:lumMod val="25000"/>
                  </a:schemeClr>
                </a:solidFill>
                <a:ea typeface="Segoe UI" pitchFamily="34" charset="0"/>
                <a:cs typeface="Segoe UI Light" panose="020B0502040204020203" pitchFamily="34" charset="0"/>
              </a:rPr>
              <a:t>Inserir</a:t>
            </a:r>
            <a:r>
              <a:rPr lang="pt-pt" sz="1100" kern="0" baseline="0">
                <a:solidFill>
                  <a:schemeClr val="bg2">
                    <a:lumMod val="25000"/>
                  </a:schemeClr>
                </a:solidFill>
                <a:ea typeface="Segoe UI" pitchFamily="34" charset="0"/>
                <a:cs typeface="Segoe UI Light" panose="020B0502040204020203" pitchFamily="34" charset="0"/>
              </a:rPr>
              <a:t> &gt; </a:t>
            </a:r>
            <a:r>
              <a:rPr lang="pt-pt" sz="1100" b="1" kern="0" baseline="0">
                <a:solidFill>
                  <a:schemeClr val="bg2">
                    <a:lumMod val="25000"/>
                  </a:schemeClr>
                </a:solidFill>
                <a:ea typeface="Segoe UI" pitchFamily="34" charset="0"/>
                <a:cs typeface="Segoe UI Light" panose="020B0502040204020203" pitchFamily="34" charset="0"/>
              </a:rPr>
              <a:t>Gráficos Recomendados</a:t>
            </a:r>
            <a:r>
              <a:rPr lang="pt-pt" sz="1100" kern="0" baseline="0">
                <a:solidFill>
                  <a:schemeClr val="bg2">
                    <a:lumMod val="25000"/>
                  </a:schemeClr>
                </a:solidFill>
                <a:ea typeface="Segoe UI" pitchFamily="34" charset="0"/>
                <a:cs typeface="Segoe UI Light" panose="020B0502040204020203" pitchFamily="34" charset="0"/>
              </a:rPr>
              <a:t>. Na parte superior, clique no separador</a:t>
            </a:r>
            <a:r>
              <a:rPr lang="pt-pt" sz="1100" b="1" kern="0" baseline="0">
                <a:solidFill>
                  <a:schemeClr val="bg2">
                    <a:lumMod val="25000"/>
                  </a:schemeClr>
                </a:solidFill>
                <a:ea typeface="Segoe UI" pitchFamily="34" charset="0"/>
                <a:cs typeface="Segoe UI Light" panose="020B0502040204020203" pitchFamily="34" charset="0"/>
              </a:rPr>
              <a:t> Todos os Gráficos</a:t>
            </a:r>
            <a:r>
              <a:rPr lang="pt-pt" sz="1100" kern="0" baseline="0">
                <a:solidFill>
                  <a:schemeClr val="bg2">
                    <a:lumMod val="25000"/>
                  </a:schemeClr>
                </a:solidFill>
                <a:ea typeface="Segoe UI" pitchFamily="34" charset="0"/>
                <a:cs typeface="Segoe UI Light" panose="020B0502040204020203" pitchFamily="34" charset="0"/>
              </a:rPr>
              <a:t> </a:t>
            </a:r>
            <a:r>
              <a:rPr lang="pt-pt" sz="1100" b="0" kern="0" baseline="0">
                <a:solidFill>
                  <a:schemeClr val="bg2">
                    <a:lumMod val="25000"/>
                  </a:schemeClr>
                </a:solidFill>
                <a:ea typeface="Segoe UI" pitchFamily="34" charset="0"/>
                <a:cs typeface="Segoe UI Light" panose="020B0502040204020203" pitchFamily="34" charset="0"/>
              </a:rPr>
              <a:t>e, em seguida, clique em </a:t>
            </a:r>
            <a:r>
              <a:rPr lang="pt-pt" sz="1100" b="1" kern="0" baseline="0">
                <a:solidFill>
                  <a:schemeClr val="bg2">
                    <a:lumMod val="25000"/>
                  </a:schemeClr>
                </a:solidFill>
                <a:ea typeface="Segoe UI" pitchFamily="34" charset="0"/>
                <a:cs typeface="Segoe UI Light" panose="020B0502040204020203" pitchFamily="34" charset="0"/>
              </a:rPr>
              <a:t>Combinação </a:t>
            </a:r>
            <a:r>
              <a:rPr lang="pt-pt" sz="1100" kern="0" baseline="0">
                <a:solidFill>
                  <a:schemeClr val="bg2">
                    <a:lumMod val="25000"/>
                  </a:schemeClr>
                </a:solidFill>
                <a:ea typeface="Segoe UI" pitchFamily="34" charset="0"/>
                <a:cs typeface="Segoe UI Light" panose="020B0502040204020203" pitchFamily="34" charset="0"/>
              </a:rPr>
              <a:t>na parte inferior. À direita, clique na caixa de verificação Eixo Secundário para as </a:t>
            </a:r>
            <a:r>
              <a:rPr lang="pt-pt" sz="1100" b="1" kern="0" baseline="0">
                <a:solidFill>
                  <a:schemeClr val="bg2">
                    <a:lumMod val="25000"/>
                  </a:schemeClr>
                </a:solidFill>
                <a:ea typeface="Segoe UI" pitchFamily="34" charset="0"/>
                <a:cs typeface="Segoe UI Light" panose="020B0502040204020203" pitchFamily="34" charset="0"/>
              </a:rPr>
              <a:t>Vendas de </a:t>
            </a:r>
            <a:r>
              <a:rPr lang="pt-PT" sz="1100" b="1" kern="0" baseline="0">
                <a:solidFill>
                  <a:schemeClr val="bg2">
                    <a:lumMod val="25000"/>
                  </a:schemeClr>
                </a:solidFill>
                <a:ea typeface="Segoe UI" pitchFamily="34" charset="0"/>
                <a:cs typeface="Segoe UI Light" panose="020B0502040204020203" pitchFamily="34" charset="0"/>
              </a:rPr>
              <a:t>Comida</a:t>
            </a:r>
            <a:r>
              <a:rPr lang="pt-pt"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áfico 263" descr="Friso">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Resumir os dados com tabelas dinâmica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16905" cy="4619625"/>
          <a:chOff x="0" y="52174"/>
          <a:chExt cx="5695950" cy="4619625"/>
        </a:xfrm>
      </xdr:grpSpPr>
      <xdr:sp macro="" textlink="">
        <xdr:nvSpPr>
          <xdr:cNvPr id="98" name="Retângulo 97" descr="Fundo">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9" name="Passo" descr="Resumir os dados com tabelas dinâmica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Resumir os dados com tabelas dinâmicas</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Conexão Reta 99" descr="Linha decorativa">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Botão Seguinte" descr="Desça para ver mais detalhes">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40341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102" name="Conexão Reta 101" descr="Linha decorativa">
            <a:extLst>
              <a:ext uri="{FF2B5EF4-FFF2-40B4-BE49-F238E27FC236}">
                <a16:creationId xmlns:a16="http://schemas.microsoft.com/office/drawing/2014/main" id="{00000000-0008-0000-0A00-000066000000}"/>
              </a:ext>
            </a:extLst>
          </xdr:cNvPr>
          <xdr:cNvCxnSpPr>
            <a:cxnSpLocks/>
          </xdr:cNvCxnSpPr>
        </xdr:nvCxnSpPr>
        <xdr:spPr>
          <a:xfrm>
            <a:off x="234924" y="38098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A00-000067000000}"/>
              </a:ext>
            </a:extLst>
          </xdr:cNvPr>
          <xdr:cNvSpPr/>
        </xdr:nvSpPr>
        <xdr:spPr>
          <a:xfrm>
            <a:off x="4048125" y="4034106"/>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04" name="Passo" descr="Observe as colunas Data, Vendedor, Produto e Montante. Consegue identificar rapidamente qual é o produto mais lucrativo ou o principal vendedor? A Tabela Dinâmica abaixo pode ajudar nestas situações.">
            <a:extLst>
              <a:ext uri="{FF2B5EF4-FFF2-40B4-BE49-F238E27FC236}">
                <a16:creationId xmlns:a16="http://schemas.microsoft.com/office/drawing/2014/main" id="{00000000-0008-0000-0A00-000068000000}"/>
              </a:ext>
            </a:extLst>
          </xdr:cNvPr>
          <xdr:cNvSpPr txBox="1"/>
        </xdr:nvSpPr>
        <xdr:spPr>
          <a:xfrm>
            <a:off x="638783" y="75712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Observe as colunas Data, Vendedor, Produto e Montante. Consegue identificar rapidamente qual é o produto mais lucrativo ou o principal vendedor? A tabela dinâmica abaixo pode ajudar com isto.</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06" name="Passo" descr="Quando criámos a Tabela Dinâmica, clicámos em alguns botões para que os dados pudessem ser resumidos. Agora sabemos qual é o produto mais lucrativo">
            <a:extLst>
              <a:ext uri="{FF2B5EF4-FFF2-40B4-BE49-F238E27FC236}">
                <a16:creationId xmlns:a16="http://schemas.microsoft.com/office/drawing/2014/main" id="{00000000-0008-0000-0A00-00006A000000}"/>
              </a:ext>
            </a:extLst>
          </xdr:cNvPr>
          <xdr:cNvSpPr txBox="1"/>
        </xdr:nvSpPr>
        <xdr:spPr>
          <a:xfrm>
            <a:off x="638783" y="1398081"/>
            <a:ext cx="4809516" cy="663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criámos a tabela dinâmica, clicámos em alguns botões para que os dados pudessem ser resumidos. Agora sabemos qual é o produto mais lucrativo.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032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08" name="Passo"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97976"/>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Utilize os dados na tabela dinâmica para saber qual é o principal vendedor. Clique com o botão direito do rato numa célula na tabela dinâmica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Mostrar Lista de Campos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20031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10" name="Passo" descr="O painel Campos da Tabela Dinâmica é apresentado. Na parte inferior do painel, em Linhas, clique em Produto e, em seguida, clique em Remover Campo">
            <a:extLst>
              <a:ext uri="{FF2B5EF4-FFF2-40B4-BE49-F238E27FC236}">
                <a16:creationId xmlns:a16="http://schemas.microsoft.com/office/drawing/2014/main" id="{00000000-0008-0000-0A00-00006E000000}"/>
              </a:ext>
            </a:extLst>
          </xdr:cNvPr>
          <xdr:cNvSpPr txBox="1"/>
        </xdr:nvSpPr>
        <xdr:spPr>
          <a:xfrm>
            <a:off x="638783" y="2604345"/>
            <a:ext cx="4809516" cy="638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 painel Campos da Tabela Dinâmica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apresentado.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inferior do painel,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Linhas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Produto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Remover Campo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59994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12" name="Passo" descr="Na parte superior do painel, clique na caixa de verificação Vendedor. Agora pode ver quem é o vendedor principal.">
            <a:extLst>
              <a:ext uri="{FF2B5EF4-FFF2-40B4-BE49-F238E27FC236}">
                <a16:creationId xmlns:a16="http://schemas.microsoft.com/office/drawing/2014/main" id="{00000000-0008-0000-0A00-000070000000}"/>
              </a:ext>
            </a:extLst>
          </xdr:cNvPr>
          <xdr:cNvSpPr txBox="1"/>
        </xdr:nvSpPr>
        <xdr:spPr>
          <a:xfrm>
            <a:off x="638783" y="323104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verificação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Vendedor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pode ver quem é o vendedor principal.</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2439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iar uma Tabela Dinâmica"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716905" cy="5736772"/>
          <a:chOff x="390525" y="5943600"/>
          <a:chExt cx="5695950" cy="5647502"/>
        </a:xfrm>
      </xdr:grpSpPr>
      <xdr:sp macro="" textlink="">
        <xdr:nvSpPr>
          <xdr:cNvPr id="124" name="Retângulo 123" descr="Fundo">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5" name="Passo" descr="Criar uma Tabela Dinâmica">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Criar uma tabela dinâmica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Conexão Reta 125" descr="Linha decorativa">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Conexão Reta 133" descr="Linha decorativa">
            <a:extLst>
              <a:ext uri="{FF2B5EF4-FFF2-40B4-BE49-F238E27FC236}">
                <a16:creationId xmlns:a16="http://schemas.microsoft.com/office/drawing/2014/main" id="{00000000-0008-0000-0A00-000086000000}"/>
              </a:ext>
            </a:extLst>
          </xdr:cNvPr>
          <xdr:cNvCxnSpPr>
            <a:cxnSpLocks/>
          </xdr:cNvCxnSpPr>
        </xdr:nvCxnSpPr>
        <xdr:spPr>
          <a:xfrm>
            <a:off x="625449" y="1131482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Passo" descr="Agora terá de criar uma Tabela Dinâmica manualmente para saber como se faz quando precisar de resumir dados">
            <a:extLst>
              <a:ext uri="{FF2B5EF4-FFF2-40B4-BE49-F238E27FC236}">
                <a16:creationId xmlns:a16="http://schemas.microsoft.com/office/drawing/2014/main" id="{00000000-0008-0000-0A00-00007F000000}"/>
              </a:ext>
            </a:extLst>
          </xdr:cNvPr>
          <xdr:cNvSpPr txBox="1"/>
        </xdr:nvSpPr>
        <xdr:spPr>
          <a:xfrm>
            <a:off x="619125" y="6631401"/>
            <a:ext cx="5300938" cy="474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terá de criar uma tabela dinâmica manualmente para saber como se faz quando precisar de resumir dados.</a:t>
            </a:r>
          </a:p>
        </xdr:txBody>
      </xdr:sp>
      <xdr:sp macro="" textlink="">
        <xdr:nvSpPr>
          <xdr:cNvPr id="128" name="Passo" descr="Clique numa célula nos dados à direita e, em seguida, no menu Inserir, clique em Tabela Dinâmica">
            <a:extLst>
              <a:ext uri="{FF2B5EF4-FFF2-40B4-BE49-F238E27FC236}">
                <a16:creationId xmlns:a16="http://schemas.microsoft.com/office/drawing/2014/main" id="{00000000-0008-0000-0A00-000080000000}"/>
              </a:ext>
            </a:extLst>
          </xdr:cNvPr>
          <xdr:cNvSpPr txBox="1"/>
        </xdr:nvSpPr>
        <xdr:spPr>
          <a:xfrm>
            <a:off x="1029308" y="7161903"/>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numa célula nos dados à direita e, em seguida, no menu </a:t>
            </a:r>
            <a:r>
              <a:rPr lang="pt-pt" sz="1100" b="1">
                <a:solidFill>
                  <a:schemeClr val="tx1">
                    <a:lumMod val="75000"/>
                    <a:lumOff val="25000"/>
                  </a:schemeClr>
                </a:solidFill>
                <a:latin typeface="Segoe UI" panose="020B0502040204020203" pitchFamily="34" charset="0"/>
                <a:cs typeface="Segoe UI" panose="020B0502040204020203" pitchFamily="34" charset="0"/>
              </a:rPr>
              <a:t>Inserir</a:t>
            </a:r>
            <a:r>
              <a:rPr lang="pt-pt" sz="1100">
                <a:solidFill>
                  <a:schemeClr val="tx1">
                    <a:lumMod val="75000"/>
                    <a:lumOff val="25000"/>
                  </a:schemeClr>
                </a:solidFill>
                <a:latin typeface="Segoe UI" panose="020B0502040204020203" pitchFamily="34" charset="0"/>
                <a:cs typeface="Segoe UI" panose="020B0502040204020203" pitchFamily="34" charset="0"/>
              </a:rPr>
              <a:t>,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Tabela Dinâmica</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30" name="Passo" descr="Na caixa de diálogo apresentada, clique em Folha de Cálculo Existente e, em seguida, escreva C42 na caixa Localização. Clique em OK.">
            <a:extLst>
              <a:ext uri="{FF2B5EF4-FFF2-40B4-BE49-F238E27FC236}">
                <a16:creationId xmlns:a16="http://schemas.microsoft.com/office/drawing/2014/main" id="{00000000-0008-0000-0A00-000082000000}"/>
              </a:ext>
            </a:extLst>
          </xdr:cNvPr>
          <xdr:cNvSpPr txBox="1"/>
        </xdr:nvSpPr>
        <xdr:spPr>
          <a:xfrm>
            <a:off x="1029308" y="7683295"/>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caixa de diálogo apresentada,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Folha de Cálculo Existente</a:t>
            </a:r>
            <a:r>
              <a:rPr lang="pt-pt" sz="1100">
                <a:solidFill>
                  <a:schemeClr val="tx1">
                    <a:lumMod val="75000"/>
                    <a:lumOff val="25000"/>
                  </a:schemeClr>
                </a:solidFill>
                <a:latin typeface="Segoe UI" panose="020B0502040204020203" pitchFamily="34" charset="0"/>
                <a:cs typeface="Segoe UI" panose="020B0502040204020203" pitchFamily="34" charset="0"/>
              </a:rPr>
              <a:t> e, em seguida, escreva C42 na</a:t>
            </a:r>
            <a:r>
              <a:rPr lang="pt-pt" sz="1100" baseline="0">
                <a:solidFill>
                  <a:schemeClr val="tx1">
                    <a:lumMod val="75000"/>
                    <a:lumOff val="25000"/>
                  </a:schemeClr>
                </a:solidFill>
                <a:latin typeface="Segoe UI" panose="020B0502040204020203" pitchFamily="34" charset="0"/>
                <a:cs typeface="Segoe UI" panose="020B0502040204020203" pitchFamily="34" charset="0"/>
              </a:rPr>
              <a:t> caixa </a:t>
            </a:r>
            <a:r>
              <a:rPr lang="pt-pt" sz="1100" b="1" baseline="0">
                <a:solidFill>
                  <a:schemeClr val="tx1">
                    <a:lumMod val="75000"/>
                    <a:lumOff val="25000"/>
                  </a:schemeClr>
                </a:solidFill>
                <a:latin typeface="Segoe UI" panose="020B0502040204020203" pitchFamily="34" charset="0"/>
                <a:cs typeface="Segoe UI" panose="020B0502040204020203" pitchFamily="34" charset="0"/>
              </a:rPr>
              <a:t>Localização</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a:solidFill>
                  <a:schemeClr val="tx1">
                    <a:lumMod val="75000"/>
                    <a:lumOff val="25000"/>
                  </a:schemeClr>
                </a:solidFill>
                <a:latin typeface="Segoe UI" panose="020B0502040204020203" pitchFamily="34" charset="0"/>
                <a:cs typeface="Segoe UI" panose="020B0502040204020203" pitchFamily="34" charset="0"/>
              </a:rPr>
              <a:t>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OK</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32" name="Passo" descr="O painel Campos da Tabela Dinâmica é apresentado à direita">
            <a:extLst>
              <a:ext uri="{FF2B5EF4-FFF2-40B4-BE49-F238E27FC236}">
                <a16:creationId xmlns:a16="http://schemas.microsoft.com/office/drawing/2014/main" id="{00000000-0008-0000-0A00-000084000000}"/>
              </a:ext>
            </a:extLst>
          </xdr:cNvPr>
          <xdr:cNvSpPr txBox="1"/>
        </xdr:nvSpPr>
        <xdr:spPr>
          <a:xfrm>
            <a:off x="1029308" y="8200873"/>
            <a:ext cx="4809516" cy="340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O painel </a:t>
            </a:r>
            <a:r>
              <a:rPr lang="pt-pt" sz="1100" b="1">
                <a:solidFill>
                  <a:schemeClr val="tx1">
                    <a:lumMod val="75000"/>
                    <a:lumOff val="25000"/>
                  </a:schemeClr>
                </a:solidFill>
                <a:latin typeface="Segoe UI" panose="020B0502040204020203" pitchFamily="34" charset="0"/>
                <a:cs typeface="Segoe UI" panose="020B0502040204020203" pitchFamily="34" charset="0"/>
              </a:rPr>
              <a:t>Campos da Tabela Dinâmica</a:t>
            </a:r>
            <a:r>
              <a:rPr lang="pt-pt" sz="1100">
                <a:solidFill>
                  <a:schemeClr val="tx1">
                    <a:lumMod val="75000"/>
                    <a:lumOff val="25000"/>
                  </a:schemeClr>
                </a:solidFill>
                <a:latin typeface="Segoe UI" panose="020B0502040204020203" pitchFamily="34" charset="0"/>
                <a:cs typeface="Segoe UI" panose="020B0502040204020203" pitchFamily="34" charset="0"/>
              </a:rPr>
              <a:t> é apresentado à direita.</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16" name="Passo"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606288"/>
            <a:ext cx="4809516" cy="1069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verificação </a:t>
            </a:r>
            <a:r>
              <a:rPr lang="pt-pt" sz="1100" b="1"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Produto</a:t>
            </a:r>
            <a:r>
              <a:rPr lang="pt-pt"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o fizer, o campo Produto é adicionado à área Linhas na parte inferior do painel. Os dados de produto são apresentados como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Etiquetas de linha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nova tabela dinâmica.</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294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18" name="Passo"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600551"/>
            <a:ext cx="4809516" cy="105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spc="-5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verificação </a:t>
            </a:r>
            <a:r>
              <a:rPr lang="pt-pt" sz="1100" b="1" kern="0" spc="-5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Montante</a:t>
            </a:r>
            <a:r>
              <a:rPr lang="pt-pt" sz="1100" kern="0" spc="-5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spc="-5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spc="-5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pt" sz="1100" kern="0" spc="-5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o fizer, o campo Montante será adicionado à área Valores na parte inferior do painel. Ao mesmo tempo, é calculado o total dos montantes para cada produto na tabela dinâmica.</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9556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20" name="Passo" descr="Parabéns, criou uma Tabela Dinâmica. No entanto, ainda pode fazer muitas outras coisas. Clique na ligação no final desta folha se quiser saber mais.">
            <a:extLst>
              <a:ext uri="{FF2B5EF4-FFF2-40B4-BE49-F238E27FC236}">
                <a16:creationId xmlns:a16="http://schemas.microsoft.com/office/drawing/2014/main" id="{00000000-0008-0000-0A00-000078000000}"/>
              </a:ext>
            </a:extLst>
          </xdr:cNvPr>
          <xdr:cNvSpPr txBox="1"/>
        </xdr:nvSpPr>
        <xdr:spPr>
          <a:xfrm>
            <a:off x="1029308" y="10587085"/>
            <a:ext cx="4809516" cy="61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Parabéns, criou uma tabela dinâmica. No entanto, ainda pode fazer muitas outras coisas. Por isso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lique na ligação no final desta folha se quiser saber mais.</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5820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6</a:t>
            </a:r>
          </a:p>
        </xdr:txBody>
      </xdr:sp>
      <xdr:pic>
        <xdr:nvPicPr>
          <xdr:cNvPr id="122" name="Imagem 121" descr="Caixa de verificação Produto">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129" t="41145" r="29937" b="37339"/>
          <a:stretch/>
        </xdr:blipFill>
        <xdr:spPr>
          <a:xfrm>
            <a:off x="5162550" y="8662868"/>
            <a:ext cx="781050" cy="181545"/>
          </a:xfrm>
          <a:prstGeom prst="rect">
            <a:avLst/>
          </a:prstGeom>
        </xdr:spPr>
      </xdr:pic>
      <xdr:pic>
        <xdr:nvPicPr>
          <xdr:cNvPr id="123" name="Imagem 122" descr="Caixa de verificação Produto">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55" t="62349" r="29332" b="14765"/>
          <a:stretch/>
        </xdr:blipFill>
        <xdr:spPr>
          <a:xfrm>
            <a:off x="5010151" y="9647430"/>
            <a:ext cx="844960" cy="206289"/>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ais Informações na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716905" cy="2971600"/>
          <a:chOff x="0" y="1"/>
          <a:chExt cx="5695950" cy="3005750"/>
        </a:xfrm>
      </xdr:grpSpPr>
      <xdr:sp macro="" textlink="">
        <xdr:nvSpPr>
          <xdr:cNvPr id="136" name="Retângulo 135" descr="Fundo">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7" name="Passo" descr="Mais informações na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Conexão Reta 137" descr="Linha decorativa">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Botão Seguinte" descr="Voltar ao início, com hiperligação para a célula A1">
            <a:hlinkClick xmlns:r="http://schemas.openxmlformats.org/officeDocument/2006/relationships" r:id="rId4" tooltip="Selecione para voltar à célula A1 nesta folha de cálculo"/>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40" name="Conexão Reta 139" descr="Linha decorativa">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A00-00008D000000}"/>
              </a:ext>
            </a:extLst>
          </xdr:cNvPr>
          <xdr:cNvSpPr/>
        </xdr:nvSpPr>
        <xdr:spPr>
          <a:xfrm>
            <a:off x="4063184" y="2360603"/>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42" name="Passo" descr="Criar uma Tabela Dinâmica para analisar os dados da folha de cálculo, com hiperligação para a Web">
            <a:hlinkClick xmlns:r="http://schemas.openxmlformats.org/officeDocument/2006/relationships" r:id="rId5" tooltip="Selecione para aceder à Web e saber como criar uma Tabela Dinâmica para analisar os dados da folha de cálculo"/>
            <a:extLst>
              <a:ext uri="{FF2B5EF4-FFF2-40B4-BE49-F238E27FC236}">
                <a16:creationId xmlns:a16="http://schemas.microsoft.com/office/drawing/2014/main" id="{00000000-0008-0000-0A00-00008E000000}"/>
              </a:ext>
            </a:extLst>
          </xdr:cNvPr>
          <xdr:cNvSpPr txBox="1"/>
        </xdr:nvSpPr>
        <xdr:spPr>
          <a:xfrm>
            <a:off x="638782" y="794849"/>
            <a:ext cx="487220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tabela dinâmica para analisar os dados de</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folha de cálculo</a:t>
            </a:r>
          </a:p>
        </xdr:txBody>
      </xdr:sp>
      <xdr:pic>
        <xdr:nvPicPr>
          <xdr:cNvPr id="143"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Passo" descr="Utilizar a Lista de Campos para dispor campos numa Tabela Dinâmica, com hiperligação para a Web">
            <a:hlinkClick xmlns:r="http://schemas.openxmlformats.org/officeDocument/2006/relationships" r:id="rId8" tooltip="Selecione para aceder à Web e saber como utilizar a Lista de Campos para dispor campos numa Tabela Dinâmica"/>
            <a:extLst>
              <a:ext uri="{FF2B5EF4-FFF2-40B4-BE49-F238E27FC236}">
                <a16:creationId xmlns:a16="http://schemas.microsoft.com/office/drawing/2014/main" id="{00000000-0008-0000-0A00-000090000000}"/>
              </a:ext>
            </a:extLst>
          </xdr:cNvPr>
          <xdr:cNvSpPr txBox="1"/>
        </xdr:nvSpPr>
        <xdr:spPr>
          <a:xfrm>
            <a:off x="638783" y="1259456"/>
            <a:ext cx="45197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 Lista de Campos para ordenar campos numa tabela dinâmica</a:t>
            </a:r>
          </a:p>
        </xdr:txBody>
      </xdr:sp>
      <xdr:pic>
        <xdr:nvPicPr>
          <xdr:cNvPr id="145"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Seta da Tabela Dinâmica" descr="Seta a apontar para a Tabela Dinâmica">
          <a:extLst>
            <a:ext uri="{FF2B5EF4-FFF2-40B4-BE49-F238E27FC236}">
              <a16:creationId xmlns:a16="http://schemas.microsoft.com/office/drawing/2014/main" id="{00000000-0008-0000-0A00-000002000000}"/>
            </a:ext>
          </a:extLst>
        </xdr:cNvPr>
        <xdr:cNvGrpSpPr/>
      </xdr:nvGrpSpPr>
      <xdr:grpSpPr>
        <a:xfrm>
          <a:off x="6829425" y="2451566"/>
          <a:ext cx="1429752" cy="669195"/>
          <a:chOff x="6810375" y="2584916"/>
          <a:chExt cx="1404987" cy="669195"/>
        </a:xfrm>
      </xdr:grpSpPr>
      <xdr:sp macro="" textlink="">
        <xdr:nvSpPr>
          <xdr:cNvPr id="69" name="Arco 68" descr="Seta">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70" name="Passo" descr="Tabela Dinâmica">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Tabela Dinâmica</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Conexão Reta 43" descr="Linha decorativa">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upo 7" descr="Tem mais perguntas sobre o Excel? Clique no botão Diga-me e escreva aquilo que pretende saber. Não se fique por aqui! Existem várias formas de simplificar o seu trabalho: cursos em vídeo do LinkedIn Learning para todos os níveis — do iniciante ao avançado. Faça-o ao seu ritmo. Comunidade. Faça perguntas e fale com outros fãs do Excel. Quer conhecer mais novidades? Continuamos a adicionar novas funcionalidades como parte da sua subscrição. Dê-nos feedback sobre esta apresentação">
          <a:extLst>
            <a:ext uri="{FF2B5EF4-FFF2-40B4-BE49-F238E27FC236}">
              <a16:creationId xmlns:a16="http://schemas.microsoft.com/office/drawing/2014/main" id="{0B5BCAF4-F100-4FAC-ABBE-24D74C2FDEF9}"/>
            </a:ext>
          </a:extLst>
        </xdr:cNvPr>
        <xdr:cNvGrpSpPr/>
      </xdr:nvGrpSpPr>
      <xdr:grpSpPr>
        <a:xfrm>
          <a:off x="171451" y="285750"/>
          <a:ext cx="9583731" cy="5730553"/>
          <a:chOff x="171451" y="285750"/>
          <a:chExt cx="9309411" cy="5730553"/>
        </a:xfrm>
      </xdr:grpSpPr>
      <xdr:grpSp>
        <xdr:nvGrpSpPr>
          <xdr:cNvPr id="7" name="Grupo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upo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tângulo 26" descr="Fundo">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28" name="Retângulo 27" descr="Fundo">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31" name="Mensagem de Boas-vindas" descr="Continue. Existem várias formas de simplificar o seu trabalho:">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Continue. Ainda há muito mais para saber sobre o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Mensagem de Boas-vindas" descr="Tem mais perguntas sobre o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2600" b="0" i="0" baseline="0">
                  <a:solidFill>
                    <a:schemeClr val="bg1"/>
                  </a:solidFill>
                  <a:effectLst/>
                  <a:latin typeface="Segoe UI Light" pitchFamily="34" charset="0"/>
                  <a:ea typeface="Segoe UI" pitchFamily="34" charset="0"/>
                  <a:cs typeface="Segoe UI" pitchFamily="34" charset="0"/>
                </a:rPr>
                <a:t>Tem mais perguntas sobre o Excel?</a:t>
              </a:r>
              <a:endParaRPr lang="en-US" sz="2600" b="0">
                <a:latin typeface="Segoe UI Light" pitchFamily="34" charset="0"/>
                <a:ea typeface="Segoe UI" pitchFamily="34" charset="0"/>
                <a:cs typeface="Segoe UI" pitchFamily="34" charset="0"/>
              </a:endParaRPr>
            </a:p>
          </xdr:txBody>
        </xdr:sp>
        <xdr:pic>
          <xdr:nvPicPr>
            <xdr:cNvPr id="41" name="Imagem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953283" y="1564118"/>
              <a:ext cx="685267" cy="789546"/>
            </a:xfrm>
            <a:prstGeom prst="rect">
              <a:avLst/>
            </a:prstGeom>
          </xdr:spPr>
        </xdr:pic>
        <xdr:sp macro="" textlink="">
          <xdr:nvSpPr>
            <xdr:cNvPr id="42" name="Mensagem de Boas-vindas" descr="Clique no botão Diga-me e escreva aquilo que pretende saber">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Clique no botão </a:t>
              </a:r>
              <a:r>
                <a:rPr lang="pt-pt"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Ajuda                 </a:t>
              </a:r>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para saber mais sobre o Excel.</a:t>
              </a:r>
            </a:p>
          </xdr:txBody>
        </xdr:sp>
        <xdr:cxnSp macro="">
          <xdr:nvCxnSpPr>
            <xdr:cNvPr id="45" name="Conexão Reta 44" descr="Linha decorativa">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Caixa De Texto 38" descr="Saiba mais">
              <a:hlinkClick xmlns:r="http://schemas.openxmlformats.org/officeDocument/2006/relationships" r:id="rId2" tooltip="Selecione para saber mais"/>
              <a:extLst>
                <a:ext uri="{FF2B5EF4-FFF2-40B4-BE49-F238E27FC236}">
                  <a16:creationId xmlns:a16="http://schemas.microsoft.com/office/drawing/2014/main" id="{F204882E-8102-4F0D-94C6-6A7BA4A9910A}"/>
                </a:ext>
              </a:extLst>
            </xdr:cNvPr>
            <xdr:cNvSpPr txBox="1"/>
          </xdr:nvSpPr>
          <xdr:spPr>
            <a:xfrm>
              <a:off x="1824497" y="4330350"/>
              <a:ext cx="2318878"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 (apenas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Caixa de texto 39" descr="Saiba mais">
              <a:hlinkClick xmlns:r="http://schemas.openxmlformats.org/officeDocument/2006/relationships" r:id="rId3" tooltip="Selecione para saber mais"/>
              <a:extLst>
                <a:ext uri="{FF2B5EF4-FFF2-40B4-BE49-F238E27FC236}">
                  <a16:creationId xmlns:a16="http://schemas.microsoft.com/office/drawing/2014/main" id="{2E432F11-D4FE-4736-8D68-2D1E8279A7EF}"/>
                </a:ext>
              </a:extLst>
            </xdr:cNvPr>
            <xdr:cNvSpPr txBox="1"/>
          </xdr:nvSpPr>
          <xdr:spPr>
            <a:xfrm>
              <a:off x="557664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Caixa de texto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1834023"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Faça perguntas e ligue-se a outros fãs do Excel.</a:t>
              </a:r>
            </a:p>
          </xdr:txBody>
        </xdr:sp>
        <xdr:sp macro="" textlink="">
          <xdr:nvSpPr>
            <xdr:cNvPr id="35" name="Caixa de texto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5524501" y="3324225"/>
              <a:ext cx="2162174"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Quer saber as novidades?</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Os subscritores do Office 365 obtêm atualizações contínuas e novas funcionalidades.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Imagem 5" descr="Comunidade">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4"/>
            <a:stretch>
              <a:fillRect/>
            </a:stretch>
          </xdr:blipFill>
          <xdr:spPr>
            <a:xfrm>
              <a:off x="895350" y="3467216"/>
              <a:ext cx="926984" cy="774603"/>
            </a:xfrm>
            <a:prstGeom prst="rect">
              <a:avLst/>
            </a:prstGeom>
          </xdr:spPr>
        </xdr:pic>
      </xdr:grpSp>
      <xdr:grpSp>
        <xdr:nvGrpSpPr>
          <xdr:cNvPr id="57" name="Grupo 56" descr="Quer conhecer mais novidades?">
            <a:extLst>
              <a:ext uri="{FF2B5EF4-FFF2-40B4-BE49-F238E27FC236}">
                <a16:creationId xmlns:a16="http://schemas.microsoft.com/office/drawing/2014/main" id="{35226574-39A3-4CB2-966D-E8376FD2852E}"/>
              </a:ext>
            </a:extLst>
          </xdr:cNvPr>
          <xdr:cNvGrpSpPr/>
        </xdr:nvGrpSpPr>
        <xdr:grpSpPr>
          <a:xfrm>
            <a:off x="4488738" y="3461037"/>
            <a:ext cx="974505" cy="786961"/>
            <a:chOff x="4488738" y="3592566"/>
            <a:chExt cx="974505" cy="786961"/>
          </a:xfrm>
        </xdr:grpSpPr>
        <xdr:pic>
          <xdr:nvPicPr>
            <xdr:cNvPr id="49" name="Gráfico 48" descr="Jornal">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4351" y="3769928"/>
              <a:ext cx="669283" cy="609599"/>
            </a:xfrm>
            <a:prstGeom prst="rect">
              <a:avLst/>
            </a:prstGeom>
          </xdr:spPr>
        </xdr:pic>
        <xdr:grpSp>
          <xdr:nvGrpSpPr>
            <xdr:cNvPr id="56" name="Grupo 55" descr="Linhas a irradiar">
              <a:extLst>
                <a:ext uri="{FF2B5EF4-FFF2-40B4-BE49-F238E27FC236}">
                  <a16:creationId xmlns:a16="http://schemas.microsoft.com/office/drawing/2014/main" id="{702F2F78-B7B0-446F-ADB3-8EAA3C241065}"/>
                </a:ext>
              </a:extLst>
            </xdr:cNvPr>
            <xdr:cNvGrpSpPr/>
          </xdr:nvGrpSpPr>
          <xdr:grpSpPr>
            <a:xfrm>
              <a:off x="4488738" y="3592566"/>
              <a:ext cx="974505" cy="414995"/>
              <a:chOff x="4488738" y="3592566"/>
              <a:chExt cx="974505" cy="414995"/>
            </a:xfrm>
          </xdr:grpSpPr>
          <xdr:cxnSp macro="">
            <xdr:nvCxnSpPr>
              <xdr:cNvPr id="51" name="Conexão Reta 50" descr="Linha">
                <a:extLst>
                  <a:ext uri="{FF2B5EF4-FFF2-40B4-BE49-F238E27FC236}">
                    <a16:creationId xmlns:a16="http://schemas.microsoft.com/office/drawing/2014/main" id="{4E4B0BC5-F4EF-4B17-9BC9-928C6C7A1917}"/>
                  </a:ext>
                </a:extLst>
              </xdr:cNvPr>
              <xdr:cNvCxnSpPr/>
            </xdr:nvCxnSpPr>
            <xdr:spPr>
              <a:xfrm>
                <a:off x="456871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Conexão Reta 51" descr="Linha">
                <a:extLst>
                  <a:ext uri="{FF2B5EF4-FFF2-40B4-BE49-F238E27FC236}">
                    <a16:creationId xmlns:a16="http://schemas.microsoft.com/office/drawing/2014/main" id="{1DB0966E-6679-4153-8A81-5FC1D77A9317}"/>
                  </a:ext>
                </a:extLst>
              </xdr:cNvPr>
              <xdr:cNvCxnSpPr/>
            </xdr:nvCxnSpPr>
            <xdr:spPr>
              <a:xfrm>
                <a:off x="494314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Conexão Reta 52" descr="Linha">
                <a:extLst>
                  <a:ext uri="{FF2B5EF4-FFF2-40B4-BE49-F238E27FC236}">
                    <a16:creationId xmlns:a16="http://schemas.microsoft.com/office/drawing/2014/main" id="{785AF8A8-DB25-40D0-8463-CC3E4A650C35}"/>
                  </a:ext>
                </a:extLst>
              </xdr:cNvPr>
              <xdr:cNvCxnSpPr/>
            </xdr:nvCxnSpPr>
            <xdr:spPr>
              <a:xfrm flipH="1">
                <a:off x="522561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Conexão Reta 53" descr="Linha">
                <a:extLst>
                  <a:ext uri="{FF2B5EF4-FFF2-40B4-BE49-F238E27FC236}">
                    <a16:creationId xmlns:a16="http://schemas.microsoft.com/office/drawing/2014/main" id="{2764F156-2AF3-4295-9B33-3D4D4509F5DC}"/>
                  </a:ext>
                </a:extLst>
              </xdr:cNvPr>
              <xdr:cNvCxnSpPr/>
            </xdr:nvCxnSpPr>
            <xdr:spPr>
              <a:xfrm rot="5400000">
                <a:off x="456214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xão Reta 54" descr="Linha">
                <a:extLst>
                  <a:ext uri="{FF2B5EF4-FFF2-40B4-BE49-F238E27FC236}">
                    <a16:creationId xmlns:a16="http://schemas.microsoft.com/office/drawing/2014/main" id="{03A6D3CA-91BC-4116-BBDA-6D02B692FB69}"/>
                  </a:ext>
                </a:extLst>
              </xdr:cNvPr>
              <xdr:cNvCxnSpPr/>
            </xdr:nvCxnSpPr>
            <xdr:spPr>
              <a:xfrm rot="5400000">
                <a:off x="538983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Office_42323445_TF10000137.xlt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3902.515206018521" createdVersion="6" refreshedVersion="6" minRefreshableVersion="3" recordCount="6" xr:uid="{00000000-000A-0000-FFFF-FFFF03000000}">
  <cacheSource type="worksheet">
    <worksheetSource name="DadosDaTabelaDinâmica" r:id="rId2"/>
  </cacheSource>
  <cacheFields count="4">
    <cacheField name="Data" numFmtId="14">
      <sharedItems containsSemiMixedTypes="0" containsNonDate="0" containsDate="1" containsString="0" minDate="2020-01-15T00:00:00" maxDate="2020-03-13T00:00:00"/>
    </cacheField>
    <cacheField name="Vendedor" numFmtId="0">
      <sharedItems/>
    </cacheField>
    <cacheField name="Produto" numFmtId="0">
      <sharedItems count="3">
        <s v="Cerveja"/>
        <s v="Vinho"/>
        <s v="Refrigerante"/>
      </sharedItems>
    </cacheField>
    <cacheField name="Montante"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0-01-15T00:00:00"/>
    <s v="Beatriz"/>
    <x v="0"/>
    <n v="1400"/>
  </r>
  <r>
    <d v="2020-01-20T00:00:00"/>
    <s v="Paulo"/>
    <x v="1"/>
    <n v="1010"/>
  </r>
  <r>
    <d v="2020-02-06T00:00:00"/>
    <s v="Beatriz"/>
    <x v="0"/>
    <n v="750"/>
  </r>
  <r>
    <d v="2020-02-10T00:00:00"/>
    <s v="Paulo"/>
    <x v="2"/>
    <n v="510"/>
  </r>
  <r>
    <d v="2020-03-01T00:00:00"/>
    <s v="Eduarda"/>
    <x v="2"/>
    <n v="1600"/>
  </r>
  <r>
    <d v="2020-03-12T00:00:00"/>
    <s v="Camil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ExemploDeTabelaDinâmica"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4">
    <pivotField numFmtId="14" showAll="0"/>
    <pivotField showAll="0"/>
    <pivotField axis="axisRow" showAll="0">
      <items count="4">
        <item x="0"/>
        <item x="2"/>
        <item x="1"/>
        <item t="default"/>
      </items>
    </pivotField>
    <pivotField dataField="1" numFmtId="42" showAll="0"/>
  </pivotFields>
  <rowFields count="1">
    <field x="2"/>
  </rowFields>
  <rowItems count="4">
    <i>
      <x/>
    </i>
    <i>
      <x v="1"/>
    </i>
    <i>
      <x v="2"/>
    </i>
    <i t="grand">
      <x/>
    </i>
  </rowItems>
  <colItems count="1">
    <i/>
  </colItems>
  <dataFields count="1">
    <dataField name="Sum of Montante" fld="3" baseField="2" baseItem="2" numFmtId="42"/>
  </dataFields>
  <formats count="3">
    <format dxfId="8">
      <pivotArea outline="0" collapsedLevelsAreSubtotals="1" fieldPosition="0"/>
    </format>
    <format dxfId="7">
      <pivotArea grandRow="1" outline="0" collapsedLevelsAreSubtotals="1" fieldPosition="0"/>
    </format>
    <format dxfId="6">
      <pivotArea outline="0" fieldPosition="0">
        <references count="1">
          <reference field="4294967294" count="1">
            <x v="0"/>
          </reference>
        </references>
      </pivotArea>
    </format>
  </formats>
  <pivotTableStyleInfo name="Estilo de Tabela Dinâmica 1"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de Exemplo"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Ordenar" displayName="Ordenar" ref="C31:F37">
  <autoFilter ref="C31:F37" xr:uid="{00000000-0009-0000-0100-00000C000000}"/>
  <tableColumns count="4">
    <tableColumn id="1" xr3:uid="{00000000-0010-0000-0000-000001000000}" name="Data da despesa" totalsRowLabel="Total" dataCellStyle="Data"/>
    <tableColumn id="2" xr3:uid="{00000000-0010-0000-0000-000002000000}" name="Funcionário"/>
    <tableColumn id="4" xr3:uid="{00000000-0010-0000-0000-000004000000}" name="Comida" dataDxfId="29"/>
    <tableColumn id="5" xr3:uid="{00000000-0010-0000-0000-000005000000}" name="Hotel" totalsRowFunction="sum" dataDxfId="28" totalsRowDxfId="27"/>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Ordenar por data ou até por cor&quot; com quatro colunas: Data da despesa, Colaborador, Comida e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rar" displayName="Filtrar" ref="C49:F55">
  <autoFilter ref="C49:F55" xr:uid="{00000000-0009-0000-0100-00000D000000}"/>
  <tableColumns count="4">
    <tableColumn id="1" xr3:uid="{00000000-0010-0000-0100-000001000000}" name="Data da despesa" totalsRowLabel="Total" dataCellStyle="Data"/>
    <tableColumn id="2" xr3:uid="{00000000-0010-0000-0100-000002000000}" name="Funcionário"/>
    <tableColumn id="4" xr3:uid="{00000000-0010-0000-0100-000004000000}" name="Comida" dataDxfId="26"/>
    <tableColumn id="5" xr3:uid="{00000000-0010-0000-0100-000005000000}" name="Hotel" totalsRowFunction="sum" dataDxfId="25" totalsRowDxfId="24"/>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Mais formas de filtrar dados&quot; com quatro colunas: Data da despesa, Colaborador, Comida e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lunasCalculadas" displayName="ColunasCalculadas" ref="C33:H41">
  <autoFilter ref="C33:H41" xr:uid="{00000000-0009-0000-0100-000002000000}"/>
  <tableColumns count="6">
    <tableColumn id="1" xr3:uid="{00000000-0010-0000-0200-000001000000}" name="Departamento" totalsRowLabel="Total"/>
    <tableColumn id="2" xr3:uid="{00000000-0010-0000-0200-000002000000}" name="Categoria"/>
    <tableColumn id="3" xr3:uid="{00000000-0010-0000-0200-000003000000}" name="Out" totalsRowDxfId="23"/>
    <tableColumn id="4" xr3:uid="{00000000-0010-0000-0200-000004000000}" name="Nov" totalsRowDxfId="22"/>
    <tableColumn id="5" xr3:uid="{00000000-0010-0000-0200-000005000000}" name="Dez" totalsRowDxfId="21"/>
    <tableColumn id="6" xr3:uid="{00000000-0010-0000-0200-000006000000}" name="Total" totalsRowFunction="count" totalsRowDxfId="20"/>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s colunas calculadas em tabela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LinhasDeTotal" displayName="LinhasDeTotal" ref="C53:E61">
  <autoFilter ref="C53:E61" xr:uid="{00000000-0009-0000-0100-000003000000}"/>
  <tableColumns count="3">
    <tableColumn id="1" xr3:uid="{00000000-0010-0000-0300-000001000000}" name="Departamento" totalsRowLabel="Total" dataDxfId="19"/>
    <tableColumn id="2" xr3:uid="{00000000-0010-0000-0300-000002000000}" name="Categoria" dataDxfId="18"/>
    <tableColumn id="6" xr3:uid="{00000000-0010-0000-0300-000006000000}" name="Vendas" totalsRowFunction="sum" totalsRowDxfId="17"/>
  </tableColumns>
  <tableStyleInfo name="EstiloDeTabelaPersonalizado" showFirstColumn="0" showLastColumn="0" showRowStripes="1" showColumnStripes="0"/>
  <extLst>
    <ext xmlns:x14="http://schemas.microsoft.com/office/spreadsheetml/2009/9/main" uri="{504A1905-F514-4f6f-8877-14C23A59335A}">
      <x14:table altTextSummary="Tabela de exemplo que ilustra as linhas de total em tabela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isarDados" displayName="AnalisarDados" ref="C5:G13">
  <autoFilter ref="C5:G13" xr:uid="{00000000-0009-0000-0100-000010000000}"/>
  <tableColumns count="5">
    <tableColumn id="1" xr3:uid="{00000000-0010-0000-0400-000001000000}" name="Departamento" totalsRowLabel="Total"/>
    <tableColumn id="2" xr3:uid="{00000000-0010-0000-0400-000002000000}" name="Categoria"/>
    <tableColumn id="3" xr3:uid="{00000000-0010-0000-0400-000003000000}" name="Out" totalsRowDxfId="16"/>
    <tableColumn id="4" xr3:uid="{00000000-0010-0000-0400-000004000000}" name="Nov" totalsRowDxfId="15"/>
    <tableColumn id="5" xr3:uid="{00000000-0010-0000-0400-000005000000}" name="Dez" totalsRowFunction="sum" totalsRowDxfId="14"/>
  </tableColumns>
  <tableStyleInfo name="EstiloDeTabelaPersonalizado" showFirstColumn="0" showLastColumn="0" showRowStripes="1" showColumnStripes="0"/>
  <extLst>
    <ext xmlns:x14="http://schemas.microsoft.com/office/spreadsheetml/2009/9/main" uri="{504A1905-F514-4f6f-8877-14C23A59335A}">
      <x14:table altTextSummary="Tabela de Análise Rápida para filtrar dados. Estes dados de exemplo têm os títulos Departamento, Categoria, Out, Nov e Dez com dados de exempl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DadosDoGráfico" displayName="DadosDoGráfico" ref="C34:G42">
  <autoFilter ref="C34:G42" xr:uid="{00000000-0009-0000-0100-000011000000}"/>
  <tableColumns count="5">
    <tableColumn id="1" xr3:uid="{00000000-0010-0000-0500-000001000000}" name="Departamento" totalsRowLabel="Total"/>
    <tableColumn id="2" xr3:uid="{00000000-0010-0000-0500-000002000000}" name="Categoria"/>
    <tableColumn id="3" xr3:uid="{00000000-0010-0000-0500-000003000000}" name="Out"/>
    <tableColumn id="4" xr3:uid="{00000000-0010-0000-0500-000004000000}" name="Nov"/>
    <tableColumn id="5" xr3:uid="{00000000-0010-0000-0500-000005000000}" name="Dez" totalsRowFunction="sum" totalsRowDxfId="13"/>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um gráfico rapidamente&quot; com cinco colunas: Departamento, Categoria, Out, Nov e Dez"/>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DadosDoGráficoSparkline" displayName="DadosDoGráficoSparkline" ref="C54:G62">
  <autoFilter ref="C54:G62" xr:uid="{00000000-0009-0000-0100-000013000000}"/>
  <tableColumns count="5">
    <tableColumn id="1" xr3:uid="{00000000-0010-0000-0600-000001000000}" name="Departamento" totalsRowLabel="Total"/>
    <tableColumn id="2" xr3:uid="{00000000-0010-0000-0600-000002000000}" name="Categoria"/>
    <tableColumn id="3" xr3:uid="{00000000-0010-0000-0600-000003000000}" name="Out"/>
    <tableColumn id="4" xr3:uid="{00000000-0010-0000-0600-000004000000}" name="Nov"/>
    <tableColumn id="5" xr3:uid="{00000000-0010-0000-0600-000005000000}" name="Dez" totalsRowFunction="sum" totalsRowDxfId="12"/>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rapidamente gráficos sparkline&quot; com cinco colunas: Departamento, Categoria, Out, Nov e Dez."/>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DadosDoGráficoRecomendado" displayName="DadosDoGráficoRecomendado" ref="C5:D11" totalsRowShown="0">
  <autoFilter ref="C5:D11" xr:uid="{00000000-0009-0000-0100-000018000000}"/>
  <tableColumns count="2">
    <tableColumn id="1" xr3:uid="{00000000-0010-0000-0700-000001000000}" name="Ano"/>
    <tableColumn id="2" xr3:uid="{00000000-0010-0000-0700-000002000000}" name="Número de participantes"/>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DadosDoGráficoRecomendado2" displayName="DadosDoGráficoRecomendado2" ref="D67:F73">
  <autoFilter ref="D67:F73" xr:uid="{00000000-0009-0000-0100-00001A000000}"/>
  <tableColumns count="3">
    <tableColumn id="1" xr3:uid="{00000000-0010-0000-0800-000001000000}" name="Data" totalsRowLabel="Total" totalsRowDxfId="11" dataCellStyle="Ano"/>
    <tableColumn id="2" xr3:uid="{00000000-0010-0000-0800-000002000000}" name="Número de participantes"/>
    <tableColumn id="3" xr3:uid="{00000000-0010-0000-0800-000003000000}" name="Vendas deComida" totalsRowFunction="sum" dataDxfId="10" totalsRowDxfId="9"/>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DadosDaTabelaDinâmica" displayName="DadosDaTabelaDinâmica" ref="C3:F9">
  <autoFilter ref="C3:F9" xr:uid="{00000000-0009-0000-0100-00001E000000}"/>
  <tableColumns count="4">
    <tableColumn id="1" xr3:uid="{00000000-0010-0000-0900-000001000000}" name="Data" totalsRowLabel="Total" totalsRowDxfId="5" dataCellStyle="Data"/>
    <tableColumn id="2" xr3:uid="{00000000-0010-0000-0900-000002000000}" name="Vendedor"/>
    <tableColumn id="3" xr3:uid="{00000000-0010-0000-0900-000003000000}" name="Produto"/>
    <tableColumn id="4" xr3:uid="{00000000-0010-0000-0900-000004000000}" name="Montante" totalsRowFunction="sum" dataDxfId="4" totalsRowDxfId="3"/>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resumir dados com tabelas dinâmica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DadosDaTabelaDinâmica2" displayName="DadosDaTabelaDinâmica2" ref="C34:F40">
  <autoFilter ref="C34:F40" xr:uid="{00000000-0009-0000-0100-000005000000}"/>
  <tableColumns count="4">
    <tableColumn id="1" xr3:uid="{00000000-0010-0000-0A00-000001000000}" name="Data" totalsRowLabel="Total" totalsRowDxfId="2" dataCellStyle="Data"/>
    <tableColumn id="2" xr3:uid="{00000000-0010-0000-0A00-000002000000}" name="Vendedor"/>
    <tableColumn id="3" xr3:uid="{00000000-0010-0000-0A00-000003000000}" name="Produto"/>
    <tableColumn id="4" xr3:uid="{00000000-0010-0000-0A00-000004000000}" name="Montante" totalsRowFunction="sum" dataDxfId="1" totalsRowDxfId="0"/>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uma Tabela Dinâmica&quot; com quatro colunas: Data, Vendedor, Produto e Quantidad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office.com/pt-PT/article/use-excel-as-your-calculator-a1abc057-ed11-443a-a635-68216555ad0a?ui=pt-PT&amp;rs=en-001&amp;ad=us" TargetMode="External"/><Relationship Id="rId2" Type="http://schemas.openxmlformats.org/officeDocument/2006/relationships/hyperlink" Target="https://support.office.com/pt-PT/article/sumif-function-169b8c99-c05c-4483-a712-1697a653039b?ui=pt-PT&amp;rs=en-001&amp;ad=us" TargetMode="External"/><Relationship Id="rId1" Type="http://schemas.openxmlformats.org/officeDocument/2006/relationships/hyperlink" Target="https://support.office.com/pt-PT/article/sum-function-043e1c7d-7726-4e80-8f32-07b23e057f89?ui=pt-PT&amp;rs=en-001&amp;ad=us"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support.office.com/pt-PT/article/excel-for-windows-training-9bc05390-e94c-46af-a5b3-d7c22f6990bb?ui=pt-PT&amp;rs=en-001&amp;ad=u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upport.office.com/pt-PT/article/fill-a-formula-down-into-adjacent-cells-041edfe2-05bc-40e6-b933-ef48c3f308c6?ui=pt-PT&amp;rs=en-001&amp;ad=us" TargetMode="External"/><Relationship Id="rId1" Type="http://schemas.openxmlformats.org/officeDocument/2006/relationships/hyperlink" Target="https://support.office.com/pt-PT/article/fill-data-automatically-in-worksheet-cells-74e31bdd-d993-45da-aa82-35a236c5b5db?ui=pt-PT&amp;rs=en-001&amp;ad=u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support.office.com/pt-PT/article/left-leftb-functions-9203d2d2-7960-479b-84c6-1ea52b99640c?ui=pt-PT&amp;rs=en-001&amp;ad=us" TargetMode="External"/><Relationship Id="rId7" Type="http://schemas.openxmlformats.org/officeDocument/2006/relationships/printerSettings" Target="../printerSettings/printerSettings4.bin"/><Relationship Id="rId2" Type="http://schemas.openxmlformats.org/officeDocument/2006/relationships/hyperlink" Target="https://support.office.com/pt-PT/article/get-transform-in-excel-881c63c6-37c5-4ca2-b616-59e18d75b4de?ui=pt-PT&amp;rs=en-001&amp;ad=us" TargetMode="External"/><Relationship Id="rId1" Type="http://schemas.openxmlformats.org/officeDocument/2006/relationships/hyperlink" Target="https://support.office.com/pt-PT/article/split-text-into-different-columns-with-the-convert-text-to-columns-wizard-30b14928-5550-41f5-97ca-7a3e9c363ed7?ui=pt-PT&amp;rs=en-001&amp;ad=us" TargetMode="External"/><Relationship Id="rId6" Type="http://schemas.openxmlformats.org/officeDocument/2006/relationships/hyperlink" Target="https://support.office.com/pt-PT/article/len-lenb-functions-29236f94-cedc-429d-affd-b5e33d2c67cb?ui=pt-PT&amp;rs=en-001&amp;ad=us" TargetMode="External"/><Relationship Id="rId5" Type="http://schemas.openxmlformats.org/officeDocument/2006/relationships/hyperlink" Target="https://support.office.com/pt-PT/article/find-findb-functions-c7912941-af2a-4bdf-a553-d0d89b0a0628?ui=pt-PT&amp;rs=en-001&amp;ad=us" TargetMode="External"/><Relationship Id="rId4" Type="http://schemas.openxmlformats.org/officeDocument/2006/relationships/hyperlink" Target="https://support.office.com/pt-PT/article/right-rightb-functions-240267ee-9afa-4639-a02b-f19e1786cf2f?ui=pt-PT&amp;rs=en-001&amp;ad=u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office.com/pt-PT/article/transpose-rotate-data-from-rows-to-columns-or-vice-versa-3419f2e3-beab-4318-aae5-d0f862209744?ui=pt-PT&amp;rs=en-001&amp;ad=us" TargetMode="External"/><Relationship Id="rId2" Type="http://schemas.openxmlformats.org/officeDocument/2006/relationships/hyperlink" Target="https://support.office.com/pt-PT/article/transpose-function-ed039415-ed8a-4a81-93e9-4b6dfac76027?ui=pt-PT&amp;rs=en-001&amp;ad=us" TargetMode="External"/><Relationship Id="rId1" Type="http://schemas.openxmlformats.org/officeDocument/2006/relationships/hyperlink" Target="https://support.office.com/pt-PT/article/create-an-array-formula-e43e12e0-afc6-4a12-bc7f-48361075954d?ui=pt-PT&amp;rs=en-001&amp;ad=us"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support.office.com/pt-PT/article/sort-data-in-a-range-or-table-62d0b95d-2a90-4610-a6ae-2e545c4a4654?ui=pt-PT&amp;rs=en-001&amp;ad=us" TargetMode="External"/><Relationship Id="rId1" Type="http://schemas.openxmlformats.org/officeDocument/2006/relationships/hyperlink" Target="https://support.office.com/pt-PT/article/filter-data-in-a-range-or-table-01832226-31b5-4568-8806-38c37dcc180e?ui=pt-PT&amp;rs=en-001&amp;ad=us"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support.office.com/pt-PT/article/overview-of-excel-tables-7ab0bb7d-3a9e-4b56-a3c9-6c94334e492c?ui=pt-PT&amp;rs=en-001&amp;ad=us" TargetMode="External"/><Relationship Id="rId7" Type="http://schemas.openxmlformats.org/officeDocument/2006/relationships/table" Target="../tables/table4.xml"/><Relationship Id="rId2" Type="http://schemas.openxmlformats.org/officeDocument/2006/relationships/hyperlink" Target="https://support.office.com/pt-PT/article/total-the-data-in-an-excel-table-6944378f-a222-4449-93d8-474386b11f20?ui=pt-PT&amp;rs=en-001&amp;ad=us" TargetMode="External"/><Relationship Id="rId1" Type="http://schemas.openxmlformats.org/officeDocument/2006/relationships/hyperlink" Target="https://support.office.com/pt-PT/article/use-calculated-columns-in-an-excel-table-873fbac6-7110-4300-8f6f-aafa2ea11ce8?ui=pt-PT&amp;rs=en-001&amp;ad=us"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support.office.com/pt-PT/article/apply-data-validation-to-cells-29fecbcc-d1b9-42c1-9d76-eff3ce5f7249?ui=pt-PT&amp;rs=en-001&amp;ad=us" TargetMode="External"/><Relationship Id="rId1" Type="http://schemas.openxmlformats.org/officeDocument/2006/relationships/hyperlink" Target="https://support.office.com/pt-PT/article/create-a-drop-down-list-7693307a-59ef-400a-b769-c5402dce407b?ui=pt-PT&amp;rs=en-001&amp;ad=us"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support.office.com/pt-PT/article/analyze-trends-in-data-using-sparklines-be6579cf-a8e3-471a-a459-873614413ce1?ui=pt-PT&amp;rs=en-001&amp;ad=us" TargetMode="External"/><Relationship Id="rId1" Type="http://schemas.openxmlformats.org/officeDocument/2006/relationships/hyperlink" Target="https://support.office.com/pt-PT/article/analyze-your-data-instantly-9e382e73-7f5e-495a-a8dc-be8225b1bb78?ui=pt-PT&amp;rs=en-001&amp;ad=us"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pport.office.com/pt-PT/article/create-a-chart-from-start-to-finish-0baf399e-dd61-4e18-8a73-b3fd5d5680c2?ui=pt-PT&amp;rs=en-001&amp;ad=us" TargetMode="External"/><Relationship Id="rId7" Type="http://schemas.openxmlformats.org/officeDocument/2006/relationships/table" Target="../tables/table9.xml"/><Relationship Id="rId2" Type="http://schemas.openxmlformats.org/officeDocument/2006/relationships/hyperlink" Target="https://support.office.com/pt-PT/article/add-or-remove-a-secondary-axis-in-a-chart-in-excel-91da1e2f-5db1-41e9-8908-e1a2e14dd5a9?redirectsourcepath=%252farticle%252f1d119e2d-1a5f-45a4-8ad3-bacc7430c0a1&amp;ui=pt-PT&amp;rs=en-001&amp;ad=us" TargetMode="External"/><Relationship Id="rId1" Type="http://schemas.openxmlformats.org/officeDocument/2006/relationships/hyperlink" Target="https://support.office.com/pt-PT/article/available-chart-types-in-office-a6187218-807e-4103-9e0a-27cdb19afb90?ui=pt-PT&amp;rs=en-001&amp;ad=us"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pt-PT/article/create-a-pivottable-to-analyze-worksheet-data-a9a84538-bfe9-40a9-a8e9-f99134456576?ui=pt-PT&amp;rs=en-001&amp;ad=us" TargetMode="External"/><Relationship Id="rId7" Type="http://schemas.openxmlformats.org/officeDocument/2006/relationships/table" Target="../tables/table11.xml"/><Relationship Id="rId2" Type="http://schemas.openxmlformats.org/officeDocument/2006/relationships/hyperlink" Target="https://support.office.com/pt-PT/article/use-the-field-list-to-arrange-fields-in-a-pivottable-43980e05-a585-4fcd-bd91-80160adfebec?ui=pt-PT&amp;rs=en-001&amp;ad=us"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abSelected="1" workbookViewId="0"/>
  </sheetViews>
  <sheetFormatPr defaultColWidth="11.109375" defaultRowHeight="20.25" customHeight="1" x14ac:dyDescent="0.3"/>
  <cols>
    <col min="1" max="1" width="129.6640625" customWidth="1"/>
    <col min="2" max="2" width="3.5546875" customWidth="1"/>
  </cols>
  <sheetData>
    <row r="1" spans="1:1" ht="15" customHeight="1" x14ac:dyDescent="0.3">
      <c r="A1" s="17" t="s">
        <v>0</v>
      </c>
    </row>
    <row r="2" spans="1:1" ht="100.8" x14ac:dyDescent="2">
      <c r="A2" s="27" t="s">
        <v>1</v>
      </c>
    </row>
    <row r="3" spans="1:1" ht="44.4" x14ac:dyDescent="0.45">
      <c r="A3" s="28" t="s">
        <v>2</v>
      </c>
    </row>
    <row r="4" spans="1:1" ht="264" customHeight="1" x14ac:dyDescent="0.3">
      <c r="A4" s="46" t="s">
        <v>3</v>
      </c>
    </row>
    <row r="5" spans="1:1" ht="20.25" customHeight="1" x14ac:dyDescent="0.45">
      <c r="A5" s="28"/>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style="18" customWidth="1"/>
    <col min="3" max="3" width="8.88671875" style="18"/>
    <col min="4" max="4" width="12.5546875" style="18" customWidth="1"/>
    <col min="5" max="6" width="8.88671875" style="18"/>
    <col min="7" max="7" width="12" style="18" customWidth="1"/>
    <col min="8" max="16384" width="8.88671875" style="18"/>
  </cols>
  <sheetData>
    <row r="1" spans="1:7" ht="60" customHeight="1" x14ac:dyDescent="0.65">
      <c r="A1" s="16" t="s">
        <v>4</v>
      </c>
      <c r="B1" s="24"/>
    </row>
    <row r="2" spans="1:7" ht="15" customHeight="1" x14ac:dyDescent="0.3">
      <c r="A2" s="16" t="s">
        <v>5</v>
      </c>
    </row>
    <row r="3" spans="1:7" ht="15" customHeight="1" x14ac:dyDescent="0.3">
      <c r="A3" s="16" t="s">
        <v>322</v>
      </c>
      <c r="B3" s="25"/>
      <c r="C3" s="30" t="s">
        <v>39</v>
      </c>
      <c r="D3" s="30" t="s">
        <v>51</v>
      </c>
      <c r="F3" s="30" t="s">
        <v>53</v>
      </c>
      <c r="G3" s="30" t="s">
        <v>51</v>
      </c>
    </row>
    <row r="4" spans="1:7" ht="15" customHeight="1" x14ac:dyDescent="0.3">
      <c r="A4" s="16" t="s">
        <v>6</v>
      </c>
      <c r="C4" s="6" t="s">
        <v>40</v>
      </c>
      <c r="D4" s="6">
        <v>50</v>
      </c>
      <c r="F4" s="6" t="s">
        <v>54</v>
      </c>
      <c r="G4" s="6">
        <v>50</v>
      </c>
    </row>
    <row r="5" spans="1:7" s="19" customFormat="1" ht="15" customHeight="1" x14ac:dyDescent="0.3">
      <c r="A5" s="16" t="s">
        <v>7</v>
      </c>
      <c r="C5" s="6" t="s">
        <v>41</v>
      </c>
      <c r="D5" s="6">
        <v>20</v>
      </c>
      <c r="F5" s="6" t="s">
        <v>55</v>
      </c>
      <c r="G5" s="6">
        <v>30</v>
      </c>
    </row>
    <row r="6" spans="1:7" s="19" customFormat="1" ht="15" customHeight="1" x14ac:dyDescent="0.3">
      <c r="A6" s="16" t="s">
        <v>8</v>
      </c>
      <c r="B6" s="26"/>
      <c r="C6" s="6" t="s">
        <v>42</v>
      </c>
      <c r="D6" s="6">
        <v>60</v>
      </c>
      <c r="F6" s="6" t="s">
        <v>56</v>
      </c>
      <c r="G6" s="6">
        <v>10</v>
      </c>
    </row>
    <row r="7" spans="1:7" s="19" customFormat="1" ht="15" customHeight="1" x14ac:dyDescent="0.3">
      <c r="A7" s="16" t="s">
        <v>323</v>
      </c>
      <c r="C7" s="6" t="s">
        <v>43</v>
      </c>
      <c r="D7" s="6">
        <v>40</v>
      </c>
      <c r="F7" s="6" t="s">
        <v>57</v>
      </c>
      <c r="G7" s="6">
        <v>50</v>
      </c>
    </row>
    <row r="8" spans="1:7" s="19" customFormat="1" ht="15" customHeight="1" x14ac:dyDescent="0.3">
      <c r="A8" s="16" t="s">
        <v>9</v>
      </c>
      <c r="D8" s="20"/>
      <c r="G8" s="20"/>
    </row>
    <row r="9" spans="1:7" s="19" customFormat="1" ht="15" customHeight="1" x14ac:dyDescent="0.3">
      <c r="A9" s="16" t="s">
        <v>10</v>
      </c>
    </row>
    <row r="10" spans="1:7" s="19" customFormat="1" ht="15" customHeight="1" x14ac:dyDescent="0.3">
      <c r="A10" s="16" t="s">
        <v>324</v>
      </c>
      <c r="C10" s="30" t="s">
        <v>44</v>
      </c>
      <c r="D10" s="30" t="s">
        <v>51</v>
      </c>
      <c r="F10" s="30" t="s">
        <v>44</v>
      </c>
      <c r="G10" s="30" t="s">
        <v>51</v>
      </c>
    </row>
    <row r="11" spans="1:7" s="19" customFormat="1" ht="15" customHeight="1" x14ac:dyDescent="0.3">
      <c r="A11" s="16" t="s">
        <v>11</v>
      </c>
      <c r="C11" s="6" t="s">
        <v>45</v>
      </c>
      <c r="D11" s="6">
        <v>50</v>
      </c>
      <c r="F11" s="6" t="s">
        <v>45</v>
      </c>
      <c r="G11" s="6">
        <v>50</v>
      </c>
    </row>
    <row r="12" spans="1:7" s="19" customFormat="1" ht="15" customHeight="1" x14ac:dyDescent="0.3">
      <c r="A12" s="16" t="s">
        <v>325</v>
      </c>
      <c r="C12" s="6" t="s">
        <v>46</v>
      </c>
      <c r="D12" s="6">
        <v>100</v>
      </c>
      <c r="F12" s="6" t="s">
        <v>46</v>
      </c>
      <c r="G12" s="6">
        <v>100</v>
      </c>
    </row>
    <row r="13" spans="1:7" s="19" customFormat="1" ht="15" customHeight="1" x14ac:dyDescent="0.3">
      <c r="A13" s="16" t="s">
        <v>12</v>
      </c>
      <c r="C13" s="6" t="s">
        <v>47</v>
      </c>
      <c r="D13" s="6">
        <v>40</v>
      </c>
      <c r="F13" s="6" t="s">
        <v>47</v>
      </c>
      <c r="G13" s="6">
        <v>40</v>
      </c>
    </row>
    <row r="14" spans="1:7" s="19" customFormat="1" ht="15" customHeight="1" x14ac:dyDescent="0.3">
      <c r="A14" s="16"/>
      <c r="C14" s="6" t="s">
        <v>48</v>
      </c>
      <c r="D14" s="6">
        <v>50</v>
      </c>
      <c r="F14" s="6" t="s">
        <v>48</v>
      </c>
      <c r="G14" s="6">
        <v>50</v>
      </c>
    </row>
    <row r="15" spans="1:7" s="19" customFormat="1" ht="15" customHeight="1" thickBot="1" x14ac:dyDescent="0.35">
      <c r="A15" s="16"/>
      <c r="C15" s="6" t="s">
        <v>49</v>
      </c>
      <c r="D15" s="6">
        <v>20</v>
      </c>
      <c r="F15" s="6" t="s">
        <v>49</v>
      </c>
      <c r="G15" s="6">
        <v>20</v>
      </c>
    </row>
    <row r="16" spans="1:7" s="19" customFormat="1" ht="15" customHeight="1" thickTop="1" thickBot="1" x14ac:dyDescent="0.35">
      <c r="A16" s="16"/>
      <c r="D16" s="20"/>
      <c r="G16" s="29"/>
    </row>
    <row r="17" spans="1:1" s="19" customFormat="1" ht="15" customHeight="1" thickTop="1" x14ac:dyDescent="0.3">
      <c r="A17" s="16"/>
    </row>
    <row r="18" spans="1:1" s="19" customFormat="1" ht="15" customHeight="1" x14ac:dyDescent="0.3">
      <c r="A18" s="16"/>
    </row>
    <row r="19" spans="1:1" s="19" customFormat="1" ht="15" customHeight="1" x14ac:dyDescent="0.3">
      <c r="A19" s="16"/>
    </row>
    <row r="20" spans="1:1" s="19" customFormat="1" ht="15" customHeight="1" x14ac:dyDescent="0.3">
      <c r="A20" s="16"/>
    </row>
    <row r="21" spans="1:1" s="19" customFormat="1" ht="15" customHeight="1" x14ac:dyDescent="0.3">
      <c r="A21" s="16"/>
    </row>
    <row r="22" spans="1:1" s="19" customFormat="1" ht="15" customHeight="1" x14ac:dyDescent="0.3">
      <c r="A22" s="16"/>
    </row>
    <row r="23" spans="1:1" s="19" customFormat="1" ht="15" customHeight="1" x14ac:dyDescent="0.3">
      <c r="A23" s="16"/>
    </row>
    <row r="24" spans="1:1" s="19" customFormat="1" ht="15" customHeight="1" x14ac:dyDescent="0.3">
      <c r="A24" s="16"/>
    </row>
    <row r="27" spans="1:1" ht="15" customHeight="1" x14ac:dyDescent="0.3">
      <c r="A27" s="16" t="s">
        <v>13</v>
      </c>
    </row>
    <row r="28" spans="1:1" ht="15" customHeight="1" x14ac:dyDescent="0.3">
      <c r="A28" s="16" t="s">
        <v>14</v>
      </c>
    </row>
    <row r="29" spans="1:1" ht="15" customHeight="1" x14ac:dyDescent="0.3">
      <c r="A29" s="16" t="s">
        <v>326</v>
      </c>
    </row>
    <row r="30" spans="1:1" ht="15" customHeight="1" x14ac:dyDescent="0.3">
      <c r="A30" s="16" t="s">
        <v>15</v>
      </c>
    </row>
    <row r="31" spans="1:1" ht="15" customHeight="1" x14ac:dyDescent="0.3">
      <c r="A31" s="16" t="s">
        <v>16</v>
      </c>
    </row>
    <row r="32" spans="1:1" ht="15" customHeight="1" x14ac:dyDescent="0.3">
      <c r="A32" s="16" t="s">
        <v>17</v>
      </c>
    </row>
    <row r="33" spans="1:7" ht="15" customHeight="1" x14ac:dyDescent="0.3">
      <c r="A33" s="16" t="s">
        <v>327</v>
      </c>
    </row>
    <row r="34" spans="1:7" ht="15" customHeight="1" x14ac:dyDescent="0.3">
      <c r="A34" s="16" t="s">
        <v>328</v>
      </c>
    </row>
    <row r="35" spans="1:7" ht="15" customHeight="1" x14ac:dyDescent="0.3">
      <c r="A35" s="16" t="s">
        <v>18</v>
      </c>
    </row>
    <row r="36" spans="1:7" ht="15" customHeight="1" x14ac:dyDescent="0.3">
      <c r="A36" s="16" t="s">
        <v>19</v>
      </c>
    </row>
    <row r="37" spans="1:7" ht="15" customHeight="1" x14ac:dyDescent="0.3">
      <c r="A37" s="16" t="s">
        <v>20</v>
      </c>
      <c r="C37" s="30" t="s">
        <v>39</v>
      </c>
      <c r="D37" s="30" t="s">
        <v>51</v>
      </c>
    </row>
    <row r="38" spans="1:7" ht="15" customHeight="1" x14ac:dyDescent="0.3">
      <c r="A38" s="16" t="s">
        <v>21</v>
      </c>
      <c r="C38" s="6" t="s">
        <v>40</v>
      </c>
      <c r="D38" s="6">
        <v>50</v>
      </c>
      <c r="E38" s="19"/>
    </row>
    <row r="39" spans="1:7" ht="15" customHeight="1" x14ac:dyDescent="0.3">
      <c r="A39" s="16" t="s">
        <v>22</v>
      </c>
      <c r="C39" s="6" t="s">
        <v>41</v>
      </c>
      <c r="D39" s="6">
        <v>20</v>
      </c>
      <c r="E39" s="19"/>
    </row>
    <row r="40" spans="1:7" ht="15" customHeight="1" x14ac:dyDescent="0.3">
      <c r="A40" s="16" t="s">
        <v>23</v>
      </c>
      <c r="C40" s="6" t="s">
        <v>42</v>
      </c>
      <c r="D40" s="6">
        <v>60</v>
      </c>
      <c r="E40" s="19"/>
    </row>
    <row r="41" spans="1:7" ht="15" customHeight="1" x14ac:dyDescent="0.3">
      <c r="A41" s="16" t="s">
        <v>24</v>
      </c>
      <c r="C41" s="6" t="s">
        <v>43</v>
      </c>
      <c r="D41" s="6">
        <v>40</v>
      </c>
      <c r="E41" s="19"/>
    </row>
    <row r="42" spans="1:7" ht="15" customHeight="1" x14ac:dyDescent="0.3">
      <c r="A42" s="16" t="s">
        <v>25</v>
      </c>
      <c r="C42" s="19"/>
      <c r="D42" s="20">
        <f>SUM(D38:D41)</f>
        <v>170</v>
      </c>
      <c r="E42" s="19"/>
      <c r="F42" s="19"/>
      <c r="G42" s="19"/>
    </row>
    <row r="43" spans="1:7" ht="15" customHeight="1" x14ac:dyDescent="0.3">
      <c r="A43" s="16" t="s">
        <v>26</v>
      </c>
    </row>
    <row r="47" spans="1:7" ht="15" customHeight="1" x14ac:dyDescent="0.3">
      <c r="C47" s="30" t="s">
        <v>44</v>
      </c>
      <c r="D47" s="30" t="s">
        <v>51</v>
      </c>
      <c r="E47" s="19"/>
      <c r="F47" s="30" t="s">
        <v>44</v>
      </c>
      <c r="G47" s="30" t="s">
        <v>51</v>
      </c>
    </row>
    <row r="48" spans="1:7" ht="15" customHeight="1" x14ac:dyDescent="0.3">
      <c r="C48" s="6" t="s">
        <v>50</v>
      </c>
      <c r="D48" s="6">
        <v>20</v>
      </c>
      <c r="E48" s="19"/>
      <c r="F48" s="6" t="s">
        <v>58</v>
      </c>
      <c r="G48" s="6">
        <v>20</v>
      </c>
    </row>
    <row r="49" spans="3:7" ht="15" customHeight="1" x14ac:dyDescent="0.3">
      <c r="C49" s="6"/>
      <c r="D49" s="6"/>
      <c r="E49" s="19"/>
      <c r="F49" s="6" t="s">
        <v>59</v>
      </c>
      <c r="G49" s="6">
        <v>10</v>
      </c>
    </row>
    <row r="50" spans="3:7" ht="15" customHeight="1" x14ac:dyDescent="0.3">
      <c r="C50" s="6"/>
      <c r="D50" s="6"/>
      <c r="E50" s="19"/>
      <c r="F50" s="6" t="s">
        <v>60</v>
      </c>
      <c r="G50" s="6">
        <v>10</v>
      </c>
    </row>
    <row r="51" spans="3:7" ht="15" customHeight="1" x14ac:dyDescent="0.3">
      <c r="C51" s="6"/>
      <c r="D51" s="6"/>
      <c r="E51" s="19"/>
      <c r="F51" s="6" t="s">
        <v>61</v>
      </c>
      <c r="G51" s="6">
        <v>40</v>
      </c>
    </row>
    <row r="53" spans="3:7" ht="15" customHeight="1" x14ac:dyDescent="0.3">
      <c r="E53" s="30" t="s">
        <v>52</v>
      </c>
    </row>
    <row r="54" spans="3:7" ht="15" customHeight="1" x14ac:dyDescent="0.3">
      <c r="E54" s="20">
        <f>SUM(D48,G48:G51,100)</f>
        <v>200</v>
      </c>
    </row>
    <row r="66" spans="1:7" ht="15" customHeight="1" x14ac:dyDescent="0.3">
      <c r="A66" s="16" t="s">
        <v>27</v>
      </c>
    </row>
    <row r="67" spans="1:7" ht="15" customHeight="1" x14ac:dyDescent="0.3">
      <c r="A67" s="16" t="s">
        <v>28</v>
      </c>
    </row>
    <row r="68" spans="1:7" ht="15" customHeight="1" x14ac:dyDescent="0.3">
      <c r="A68" s="16" t="s">
        <v>329</v>
      </c>
    </row>
    <row r="69" spans="1:7" ht="15" customHeight="1" x14ac:dyDescent="0.3">
      <c r="A69" s="16" t="s">
        <v>347</v>
      </c>
    </row>
    <row r="70" spans="1:7" ht="15" customHeight="1" x14ac:dyDescent="0.3">
      <c r="A70" s="16" t="s">
        <v>29</v>
      </c>
    </row>
    <row r="71" spans="1:7" ht="15" customHeight="1" x14ac:dyDescent="0.3">
      <c r="A71" s="16" t="s">
        <v>30</v>
      </c>
    </row>
    <row r="72" spans="1:7" ht="15" customHeight="1" x14ac:dyDescent="0.3">
      <c r="A72" s="16" t="s">
        <v>330</v>
      </c>
      <c r="C72" s="30" t="s">
        <v>44</v>
      </c>
      <c r="D72" s="30" t="s">
        <v>51</v>
      </c>
      <c r="F72" s="30" t="s">
        <v>44</v>
      </c>
      <c r="G72" s="30" t="s">
        <v>51</v>
      </c>
    </row>
    <row r="73" spans="1:7" ht="15" customHeight="1" x14ac:dyDescent="0.3">
      <c r="A73" s="45" t="s">
        <v>31</v>
      </c>
      <c r="C73" s="6" t="s">
        <v>45</v>
      </c>
      <c r="D73" s="6">
        <v>50</v>
      </c>
      <c r="F73" s="6" t="s">
        <v>45</v>
      </c>
      <c r="G73" s="6">
        <v>50</v>
      </c>
    </row>
    <row r="74" spans="1:7" ht="15" customHeight="1" x14ac:dyDescent="0.3">
      <c r="A74" s="16" t="s">
        <v>32</v>
      </c>
      <c r="C74" s="6" t="s">
        <v>46</v>
      </c>
      <c r="D74" s="6">
        <v>100</v>
      </c>
      <c r="F74" s="6" t="s">
        <v>46</v>
      </c>
      <c r="G74" s="6">
        <v>100</v>
      </c>
    </row>
    <row r="75" spans="1:7" ht="15" customHeight="1" x14ac:dyDescent="0.3">
      <c r="C75" s="6" t="s">
        <v>47</v>
      </c>
      <c r="D75" s="6">
        <v>40</v>
      </c>
      <c r="F75" s="6" t="s">
        <v>47</v>
      </c>
      <c r="G75" s="6">
        <v>40</v>
      </c>
    </row>
    <row r="76" spans="1:7" ht="15" customHeight="1" x14ac:dyDescent="0.3">
      <c r="C76" s="6" t="s">
        <v>48</v>
      </c>
      <c r="D76" s="6">
        <v>50</v>
      </c>
      <c r="F76" s="6" t="s">
        <v>48</v>
      </c>
      <c r="G76" s="6">
        <v>50</v>
      </c>
    </row>
    <row r="77" spans="1:7" ht="15" customHeight="1" thickBot="1" x14ac:dyDescent="0.35">
      <c r="C77" s="6" t="s">
        <v>49</v>
      </c>
      <c r="D77" s="6">
        <v>20</v>
      </c>
      <c r="F77" s="6" t="s">
        <v>49</v>
      </c>
      <c r="G77" s="6">
        <v>20</v>
      </c>
    </row>
    <row r="78" spans="1:7" ht="15" customHeight="1" thickTop="1" thickBot="1" x14ac:dyDescent="0.35">
      <c r="D78" s="20">
        <f>SUMIF(D73:D77,"&gt;50")</f>
        <v>100</v>
      </c>
      <c r="F78" s="23"/>
      <c r="G78" s="22">
        <f>SUMIF(G73:G77,"&gt;=50")</f>
        <v>200</v>
      </c>
    </row>
    <row r="79" spans="1:7" ht="15" customHeight="1" thickTop="1" x14ac:dyDescent="0.3"/>
    <row r="86" spans="1:1" ht="15" customHeight="1" x14ac:dyDescent="0.3">
      <c r="A86" s="16" t="s">
        <v>33</v>
      </c>
    </row>
    <row r="87" spans="1:1" ht="15" customHeight="1" x14ac:dyDescent="0.3">
      <c r="A87" s="16" t="s">
        <v>34</v>
      </c>
    </row>
    <row r="88" spans="1:1" ht="15" customHeight="1" x14ac:dyDescent="0.3">
      <c r="A88" s="16" t="s">
        <v>35</v>
      </c>
    </row>
    <row r="89" spans="1:1" ht="15" customHeight="1" x14ac:dyDescent="0.3">
      <c r="A89" s="16" t="s">
        <v>36</v>
      </c>
    </row>
    <row r="90" spans="1:1" ht="15" customHeight="1" x14ac:dyDescent="0.3">
      <c r="A90" s="16" t="s">
        <v>37</v>
      </c>
    </row>
    <row r="91" spans="1:1" ht="15" customHeight="1" x14ac:dyDescent="0.3">
      <c r="A91" s="16" t="s">
        <v>38</v>
      </c>
    </row>
  </sheetData>
  <hyperlinks>
    <hyperlink ref="A87" r:id="rId1" tooltip="Selecione para aceder à Web e saber tudo sobre a função SOMA" xr:uid="{00000000-0004-0000-0100-000000000000}"/>
    <hyperlink ref="A88" r:id="rId2" tooltip="Selecione para aceder à Web e saber tudo sobre a função SOMA.SE" xr:uid="{00000000-0004-0000-0100-000001000000}"/>
    <hyperlink ref="A89" r:id="rId3" tooltip="Selecione para aceder à Web e saber como utilizar o Excel como uma calculadora" xr:uid="{00000000-0004-0000-0100-000002000000}"/>
    <hyperlink ref="A90" r:id="rId4" tooltip="Selecione para aceder à Web e obter uma descrição geral da formação online gratuita do Excel" xr:uid="{00000000-0004-0000-0100-000003000000}"/>
    <hyperlink ref="A71" location="'10. Tabelas Dinâmicas'!A1" tooltip="Selecione para aceder à folha de cálculo Tabela Dinâmica" display="NOTA: se achar que está a criar demasiadas fórmulas SOMA.SE, talvez uma tabela dinâmica seja uma melhor solução. Veja a folha de cálculo Tabela Dinâmica para obter mais informações." xr:uid="{00000000-0004-0000-0100-000004000000}"/>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72"/>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4.109375" style="18" customWidth="1"/>
    <col min="4" max="4" width="10.88671875" style="18" customWidth="1"/>
    <col min="5" max="5" width="10.44140625" style="18" customWidth="1"/>
    <col min="6" max="6" width="11.5546875" style="18" customWidth="1"/>
    <col min="7" max="16384" width="8.88671875" style="18"/>
  </cols>
  <sheetData>
    <row r="1" spans="1:9" ht="60" customHeight="1" x14ac:dyDescent="0.3">
      <c r="A1" s="16" t="s">
        <v>62</v>
      </c>
    </row>
    <row r="2" spans="1:9" ht="15" customHeight="1" x14ac:dyDescent="0.3">
      <c r="A2" s="16" t="s">
        <v>63</v>
      </c>
    </row>
    <row r="3" spans="1:9" ht="15" customHeight="1" x14ac:dyDescent="0.3">
      <c r="A3" s="16" t="s">
        <v>64</v>
      </c>
      <c r="C3" s="30" t="s">
        <v>75</v>
      </c>
      <c r="D3" s="30" t="s">
        <v>80</v>
      </c>
      <c r="E3" s="30" t="s">
        <v>83</v>
      </c>
      <c r="F3" s="30" t="s">
        <v>80</v>
      </c>
      <c r="G3" s="30" t="s">
        <v>83</v>
      </c>
    </row>
    <row r="4" spans="1:9" ht="15" customHeight="1" x14ac:dyDescent="0.3">
      <c r="A4" s="16" t="s">
        <v>65</v>
      </c>
      <c r="C4" s="21">
        <v>50</v>
      </c>
      <c r="D4" s="21">
        <v>50</v>
      </c>
      <c r="E4" s="20">
        <f>SUM(C4:D4)</f>
        <v>100</v>
      </c>
      <c r="F4" s="21">
        <v>75</v>
      </c>
      <c r="G4" s="21">
        <f>SUM(E4:F4)</f>
        <v>175</v>
      </c>
    </row>
    <row r="5" spans="1:9" s="19" customFormat="1" ht="15" customHeight="1" x14ac:dyDescent="0.3">
      <c r="A5" s="16" t="s">
        <v>66</v>
      </c>
      <c r="B5"/>
      <c r="C5" s="21">
        <v>50</v>
      </c>
      <c r="D5" s="21">
        <v>60</v>
      </c>
      <c r="E5" s="6"/>
      <c r="F5" s="21">
        <v>75</v>
      </c>
      <c r="G5" s="21"/>
      <c r="H5" s="18"/>
      <c r="I5" s="18"/>
    </row>
    <row r="6" spans="1:9" s="19" customFormat="1" ht="15" customHeight="1" x14ac:dyDescent="0.3">
      <c r="A6" s="16" t="s">
        <v>67</v>
      </c>
      <c r="B6"/>
      <c r="C6" s="21">
        <v>50</v>
      </c>
      <c r="D6" s="21">
        <v>70</v>
      </c>
      <c r="E6" s="6"/>
      <c r="F6" s="21">
        <v>75</v>
      </c>
      <c r="G6" s="21"/>
      <c r="H6" s="18"/>
      <c r="I6" s="18"/>
    </row>
    <row r="7" spans="1:9" s="19" customFormat="1" ht="15" customHeight="1" x14ac:dyDescent="0.3">
      <c r="A7" s="16" t="s">
        <v>68</v>
      </c>
      <c r="B7"/>
      <c r="C7" s="21">
        <v>50</v>
      </c>
      <c r="D7" s="21">
        <v>80</v>
      </c>
      <c r="E7" s="6"/>
      <c r="F7" s="21">
        <v>75</v>
      </c>
      <c r="G7" s="21"/>
      <c r="H7" s="18"/>
      <c r="I7" s="18"/>
    </row>
    <row r="8" spans="1:9" s="19" customFormat="1" ht="15" customHeight="1" x14ac:dyDescent="0.3">
      <c r="A8" s="16" t="s">
        <v>69</v>
      </c>
      <c r="B8"/>
      <c r="C8" s="18"/>
      <c r="D8" s="18"/>
      <c r="E8" s="18"/>
      <c r="F8" s="18"/>
      <c r="G8" s="18"/>
      <c r="H8" s="18"/>
      <c r="I8" s="18"/>
    </row>
    <row r="9" spans="1:9" s="19" customFormat="1" ht="15" customHeight="1" x14ac:dyDescent="0.3">
      <c r="A9" s="16" t="s">
        <v>12</v>
      </c>
      <c r="B9"/>
      <c r="C9" s="18"/>
      <c r="D9" s="18"/>
      <c r="E9" s="18"/>
      <c r="F9" s="18"/>
      <c r="G9" s="18"/>
      <c r="H9" s="18"/>
      <c r="I9" s="18"/>
    </row>
    <row r="10" spans="1:9" s="19" customFormat="1" ht="15" customHeight="1" x14ac:dyDescent="0.3">
      <c r="A10" s="16"/>
      <c r="B10"/>
      <c r="C10" s="30" t="s">
        <v>75</v>
      </c>
      <c r="D10" s="30" t="s">
        <v>80</v>
      </c>
      <c r="E10" s="30" t="s">
        <v>83</v>
      </c>
      <c r="F10" s="30" t="s">
        <v>80</v>
      </c>
      <c r="G10" s="30" t="s">
        <v>83</v>
      </c>
      <c r="H10" s="18"/>
      <c r="I10" s="18"/>
    </row>
    <row r="11" spans="1:9" s="19" customFormat="1" ht="15" customHeight="1" x14ac:dyDescent="0.3">
      <c r="A11" s="16"/>
      <c r="B11"/>
      <c r="C11" s="21">
        <v>50</v>
      </c>
      <c r="D11" s="21">
        <v>50</v>
      </c>
      <c r="E11" s="21">
        <f>SUM(C11:D11)</f>
        <v>100</v>
      </c>
      <c r="F11" s="21">
        <v>75</v>
      </c>
      <c r="G11" s="21">
        <f>SUM(E11:F11)</f>
        <v>175</v>
      </c>
      <c r="H11" s="18"/>
      <c r="I11" s="18"/>
    </row>
    <row r="12" spans="1:9" s="19" customFormat="1" ht="15" customHeight="1" x14ac:dyDescent="0.3">
      <c r="A12" s="16"/>
      <c r="B12"/>
      <c r="C12" s="21">
        <v>50</v>
      </c>
      <c r="D12" s="21">
        <v>60</v>
      </c>
      <c r="E12" s="21">
        <f t="shared" ref="E12:E14" si="0">SUM(C12:D12)</f>
        <v>110</v>
      </c>
      <c r="F12" s="21">
        <v>75</v>
      </c>
      <c r="G12" s="21">
        <f t="shared" ref="G12:G14" si="1">SUM(E12:F12)</f>
        <v>185</v>
      </c>
      <c r="H12" s="18"/>
      <c r="I12" s="18"/>
    </row>
    <row r="13" spans="1:9" s="19" customFormat="1" ht="15" customHeight="1" x14ac:dyDescent="0.3">
      <c r="A13" s="16"/>
      <c r="B13"/>
      <c r="C13" s="21">
        <v>50</v>
      </c>
      <c r="D13" s="21">
        <v>70</v>
      </c>
      <c r="E13" s="21">
        <f t="shared" si="0"/>
        <v>120</v>
      </c>
      <c r="F13" s="21">
        <v>75</v>
      </c>
      <c r="G13" s="21">
        <f t="shared" si="1"/>
        <v>195</v>
      </c>
      <c r="H13" s="18"/>
      <c r="I13" s="18"/>
    </row>
    <row r="14" spans="1:9" s="19" customFormat="1" ht="15" customHeight="1" x14ac:dyDescent="0.3">
      <c r="A14" s="16"/>
      <c r="B14"/>
      <c r="C14" s="39">
        <v>50</v>
      </c>
      <c r="D14" s="39">
        <v>80</v>
      </c>
      <c r="E14" s="39">
        <f t="shared" si="0"/>
        <v>130</v>
      </c>
      <c r="F14" s="39">
        <v>75</v>
      </c>
      <c r="G14" s="39">
        <f t="shared" si="1"/>
        <v>205</v>
      </c>
      <c r="H14" s="18"/>
      <c r="I14" s="18"/>
    </row>
    <row r="15" spans="1:9" s="19" customFormat="1" ht="15" customHeight="1" x14ac:dyDescent="0.3">
      <c r="A15" s="16"/>
      <c r="B15"/>
      <c r="C15" s="20">
        <f>SUM(C11:C14)</f>
        <v>200</v>
      </c>
      <c r="D15" s="6"/>
      <c r="E15" s="6"/>
      <c r="F15" s="6"/>
      <c r="G15" s="6"/>
      <c r="H15" s="18"/>
      <c r="I15" s="18"/>
    </row>
    <row r="16" spans="1:9" s="19" customFormat="1" ht="15" customHeight="1" x14ac:dyDescent="0.3">
      <c r="A16" s="16"/>
      <c r="B16"/>
      <c r="H16" s="18"/>
      <c r="I16" s="18"/>
    </row>
    <row r="17" spans="1:9" s="19" customFormat="1" ht="15" customHeight="1" x14ac:dyDescent="0.3">
      <c r="A17" s="16"/>
      <c r="B17"/>
      <c r="H17" s="18"/>
      <c r="I17" s="18"/>
    </row>
    <row r="18" spans="1:9" s="19" customFormat="1" ht="15" customHeight="1" x14ac:dyDescent="0.3">
      <c r="A18" s="16"/>
      <c r="B18"/>
      <c r="C18" s="18"/>
      <c r="D18" s="18"/>
      <c r="E18" s="18"/>
      <c r="F18" s="18"/>
      <c r="G18" s="18"/>
      <c r="H18" s="18"/>
      <c r="I18" s="18"/>
    </row>
    <row r="19" spans="1:9" s="19" customFormat="1" ht="15" customHeight="1" x14ac:dyDescent="0.3">
      <c r="A19" s="16"/>
      <c r="B19"/>
      <c r="C19" s="18"/>
      <c r="D19" s="18"/>
      <c r="E19" s="18"/>
      <c r="F19" s="18"/>
      <c r="G19" s="18"/>
      <c r="H19" s="18"/>
      <c r="I19" s="18"/>
    </row>
    <row r="20" spans="1:9" s="19" customFormat="1" ht="15" customHeight="1" x14ac:dyDescent="0.3">
      <c r="A20" s="16"/>
      <c r="B20"/>
      <c r="C20" s="18"/>
      <c r="D20" s="18"/>
      <c r="E20" s="18"/>
      <c r="F20" s="18"/>
      <c r="G20" s="18"/>
      <c r="H20" s="18"/>
      <c r="I20" s="18"/>
    </row>
    <row r="21" spans="1:9" s="19" customFormat="1" ht="15" customHeight="1" x14ac:dyDescent="0.3">
      <c r="A21" s="16"/>
      <c r="B21"/>
      <c r="C21" s="18"/>
      <c r="D21" s="18"/>
      <c r="E21" s="18"/>
      <c r="F21" s="18"/>
      <c r="G21" s="18"/>
      <c r="H21" s="18"/>
      <c r="I21" s="18"/>
    </row>
    <row r="22" spans="1:9" s="19" customFormat="1" ht="15" customHeight="1" x14ac:dyDescent="0.3">
      <c r="A22" s="16"/>
      <c r="B22"/>
    </row>
    <row r="23" spans="1:9" s="19" customFormat="1" ht="15" customHeight="1" x14ac:dyDescent="0.3">
      <c r="A23" s="16"/>
      <c r="B23"/>
    </row>
    <row r="24" spans="1:9" s="19" customFormat="1" ht="15" customHeight="1" x14ac:dyDescent="0.3">
      <c r="A24" s="16"/>
      <c r="B24"/>
    </row>
    <row r="27" spans="1:9" ht="15" customHeight="1" x14ac:dyDescent="0.3">
      <c r="A27" s="16" t="s">
        <v>70</v>
      </c>
    </row>
    <row r="28" spans="1:9" ht="15" customHeight="1" x14ac:dyDescent="0.3">
      <c r="A28" s="16" t="s">
        <v>71</v>
      </c>
    </row>
    <row r="29" spans="1:9" ht="15" customHeight="1" x14ac:dyDescent="0.3">
      <c r="A29" s="16" t="s">
        <v>72</v>
      </c>
    </row>
    <row r="30" spans="1:9" ht="15" customHeight="1" x14ac:dyDescent="0.3">
      <c r="A30" s="16" t="s">
        <v>73</v>
      </c>
    </row>
    <row r="31" spans="1:9" ht="15" customHeight="1" x14ac:dyDescent="0.3">
      <c r="A31" s="16" t="s">
        <v>316</v>
      </c>
    </row>
    <row r="33" spans="3:8" ht="15" customHeight="1" x14ac:dyDescent="0.3">
      <c r="C33" s="30" t="s">
        <v>76</v>
      </c>
      <c r="D33" s="30" t="s">
        <v>81</v>
      </c>
      <c r="E33" s="30" t="s">
        <v>84</v>
      </c>
      <c r="F33" s="30" t="s">
        <v>89</v>
      </c>
    </row>
    <row r="34" spans="3:8" ht="15" customHeight="1" x14ac:dyDescent="0.3">
      <c r="C34" s="40" t="s">
        <v>77</v>
      </c>
      <c r="D34" s="40" t="s">
        <v>39</v>
      </c>
      <c r="E34" s="21" t="s">
        <v>85</v>
      </c>
      <c r="F34" s="21">
        <v>100</v>
      </c>
    </row>
    <row r="35" spans="3:8" ht="15" customHeight="1" x14ac:dyDescent="0.3">
      <c r="C35" s="21"/>
      <c r="D35" s="21"/>
      <c r="E35" s="21" t="s">
        <v>86</v>
      </c>
      <c r="F35" s="21">
        <v>200</v>
      </c>
    </row>
    <row r="36" spans="3:8" ht="15" customHeight="1" x14ac:dyDescent="0.3">
      <c r="C36" s="21"/>
      <c r="D36" s="21"/>
      <c r="E36" s="21" t="s">
        <v>87</v>
      </c>
      <c r="F36" s="21">
        <v>50</v>
      </c>
    </row>
    <row r="37" spans="3:8" ht="15" customHeight="1" x14ac:dyDescent="0.3">
      <c r="C37" s="21"/>
      <c r="D37" s="21"/>
      <c r="E37" s="21" t="s">
        <v>88</v>
      </c>
      <c r="F37" s="21">
        <v>100</v>
      </c>
    </row>
    <row r="46" spans="3:8" ht="15" customHeight="1" thickBot="1" x14ac:dyDescent="0.35">
      <c r="C46" s="30"/>
      <c r="D46" s="30" t="s">
        <v>82</v>
      </c>
      <c r="E46" s="30"/>
      <c r="F46" s="30"/>
    </row>
    <row r="47" spans="3:8" ht="15" customHeight="1" thickTop="1" thickBot="1" x14ac:dyDescent="0.35">
      <c r="C47" s="40" t="s">
        <v>78</v>
      </c>
      <c r="D47" s="21">
        <v>35</v>
      </c>
      <c r="E47" s="21">
        <v>44</v>
      </c>
      <c r="F47" s="21">
        <v>79</v>
      </c>
      <c r="H47" s="29" t="s">
        <v>90</v>
      </c>
    </row>
    <row r="48" spans="3:8" ht="15" customHeight="1" thickTop="1" x14ac:dyDescent="0.3">
      <c r="C48" s="21"/>
      <c r="D48" s="21">
        <v>74</v>
      </c>
      <c r="E48" s="21">
        <v>64</v>
      </c>
      <c r="F48" s="21">
        <v>56</v>
      </c>
      <c r="H48" s="21"/>
    </row>
    <row r="49" spans="3:8" ht="15" customHeight="1" x14ac:dyDescent="0.3">
      <c r="C49" s="21"/>
      <c r="D49" s="21">
        <v>82</v>
      </c>
      <c r="E49" s="21">
        <v>50</v>
      </c>
      <c r="F49" s="21">
        <v>83</v>
      </c>
      <c r="H49" s="21"/>
    </row>
    <row r="50" spans="3:8" ht="15" customHeight="1" x14ac:dyDescent="0.3">
      <c r="C50" s="21"/>
      <c r="D50" s="21">
        <v>90</v>
      </c>
      <c r="E50" s="21">
        <v>22</v>
      </c>
      <c r="F50" s="21">
        <v>89</v>
      </c>
      <c r="H50" s="21"/>
    </row>
    <row r="60" spans="3:8" ht="15" customHeight="1" x14ac:dyDescent="0.3">
      <c r="C60" s="30" t="s">
        <v>79</v>
      </c>
      <c r="D60" s="30"/>
      <c r="E60" s="30"/>
      <c r="F60" s="30"/>
      <c r="G60" s="30"/>
      <c r="H60" s="30"/>
    </row>
    <row r="61" spans="3:8" ht="15" customHeight="1" x14ac:dyDescent="0.3">
      <c r="C61" s="40">
        <v>15</v>
      </c>
      <c r="D61" s="40">
        <v>30</v>
      </c>
      <c r="E61" s="21"/>
      <c r="F61" s="21"/>
      <c r="G61" s="21"/>
      <c r="H61" s="21"/>
    </row>
    <row r="69" spans="1:1" ht="15" customHeight="1" x14ac:dyDescent="0.3">
      <c r="A69" s="16" t="s">
        <v>33</v>
      </c>
    </row>
    <row r="70" spans="1:1" ht="15" customHeight="1" x14ac:dyDescent="0.3">
      <c r="A70" s="16" t="s">
        <v>333</v>
      </c>
    </row>
    <row r="71" spans="1:1" ht="15" customHeight="1" x14ac:dyDescent="0.3">
      <c r="A71" s="16" t="s">
        <v>74</v>
      </c>
    </row>
    <row r="72" spans="1:1" ht="15" customHeight="1" x14ac:dyDescent="0.3">
      <c r="A72" s="16" t="s">
        <v>38</v>
      </c>
    </row>
  </sheetData>
  <hyperlinks>
    <hyperlink ref="A70" r:id="rId1" tooltip="Selecione para aceder à Web e saber como preencher dados automaticamente nas células da folha de cálculo" display="Preencher dados automaticamente nas células da folha de cálculo" xr:uid="{00000000-0004-0000-0200-000000000000}"/>
    <hyperlink ref="A71" r:id="rId2" tooltip="Selecione para aceder à Web e saber como preencher uma fórmula para baixo para células adjacentes" xr:uid="{00000000-0004-0000-0200-000001000000}"/>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8"/>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38.33203125" customWidth="1"/>
    <col min="4" max="5" width="15" customWidth="1"/>
    <col min="6" max="6" width="19.109375" customWidth="1"/>
    <col min="7" max="7" width="15.5546875" customWidth="1"/>
    <col min="8" max="8" width="9.88671875" customWidth="1"/>
  </cols>
  <sheetData>
    <row r="1" spans="1:8" ht="60" customHeight="1" x14ac:dyDescent="0.3">
      <c r="A1" s="16" t="s">
        <v>91</v>
      </c>
    </row>
    <row r="2" spans="1:8" ht="15" customHeight="1" x14ac:dyDescent="0.3">
      <c r="A2" s="16" t="s">
        <v>92</v>
      </c>
    </row>
    <row r="3" spans="1:8" ht="15" customHeight="1" x14ac:dyDescent="0.3">
      <c r="A3" s="16" t="s">
        <v>93</v>
      </c>
    </row>
    <row r="4" spans="1:8" ht="15" customHeight="1" x14ac:dyDescent="0.3">
      <c r="A4" s="16" t="s">
        <v>94</v>
      </c>
      <c r="C4" s="30" t="s">
        <v>118</v>
      </c>
      <c r="D4" s="30" t="s">
        <v>134</v>
      </c>
      <c r="E4" s="30" t="s">
        <v>135</v>
      </c>
    </row>
    <row r="5" spans="1:8" s="3" customFormat="1" ht="15" customHeight="1" x14ac:dyDescent="0.3">
      <c r="A5" s="16" t="s">
        <v>95</v>
      </c>
      <c r="B5"/>
      <c r="C5" s="34" t="s">
        <v>119</v>
      </c>
      <c r="D5" s="10"/>
      <c r="E5" s="35" t="s">
        <v>136</v>
      </c>
      <c r="F5"/>
      <c r="G5"/>
      <c r="H5"/>
    </row>
    <row r="6" spans="1:8" s="3" customFormat="1" ht="15" customHeight="1" x14ac:dyDescent="0.3">
      <c r="A6" s="16" t="s">
        <v>348</v>
      </c>
      <c r="B6"/>
      <c r="C6" s="34" t="s">
        <v>120</v>
      </c>
      <c r="D6"/>
      <c r="E6" s="35"/>
      <c r="F6"/>
      <c r="G6"/>
      <c r="H6"/>
    </row>
    <row r="7" spans="1:8" s="3" customFormat="1" ht="15" customHeight="1" x14ac:dyDescent="0.3">
      <c r="A7" s="16" t="s">
        <v>12</v>
      </c>
      <c r="B7"/>
      <c r="C7" s="34" t="s">
        <v>121</v>
      </c>
      <c r="D7"/>
      <c r="E7" s="35"/>
      <c r="F7"/>
      <c r="G7"/>
      <c r="H7"/>
    </row>
    <row r="8" spans="1:8" s="3" customFormat="1" ht="15" customHeight="1" x14ac:dyDescent="0.3">
      <c r="A8" s="16"/>
      <c r="B8"/>
      <c r="C8" s="34" t="s">
        <v>122</v>
      </c>
      <c r="D8"/>
      <c r="E8" s="35"/>
      <c r="F8"/>
      <c r="G8"/>
      <c r="H8"/>
    </row>
    <row r="9" spans="1:8" s="3" customFormat="1" ht="15" customHeight="1" x14ac:dyDescent="0.3">
      <c r="A9" s="16"/>
      <c r="B9"/>
      <c r="C9" s="36" t="s">
        <v>355</v>
      </c>
      <c r="D9" s="42"/>
      <c r="E9" s="43"/>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96</v>
      </c>
    </row>
    <row r="28" spans="1:8" ht="15" customHeight="1" x14ac:dyDescent="0.3">
      <c r="A28" s="16" t="s">
        <v>97</v>
      </c>
    </row>
    <row r="29" spans="1:8" ht="15" customHeight="1" x14ac:dyDescent="0.3">
      <c r="A29" s="16" t="s">
        <v>353</v>
      </c>
    </row>
    <row r="30" spans="1:8" ht="15" customHeight="1" x14ac:dyDescent="0.3">
      <c r="A30" s="16" t="s">
        <v>98</v>
      </c>
    </row>
    <row r="31" spans="1:8" ht="15" customHeight="1" x14ac:dyDescent="0.3">
      <c r="A31" s="16" t="s">
        <v>99</v>
      </c>
      <c r="C31" s="30" t="s">
        <v>123</v>
      </c>
      <c r="D31" s="30" t="s">
        <v>134</v>
      </c>
      <c r="E31" s="30" t="s">
        <v>135</v>
      </c>
      <c r="F31" s="30" t="s">
        <v>137</v>
      </c>
    </row>
    <row r="32" spans="1:8" ht="15" customHeight="1" x14ac:dyDescent="0.3">
      <c r="A32" s="16" t="s">
        <v>100</v>
      </c>
      <c r="C32" s="8" t="s">
        <v>124</v>
      </c>
    </row>
    <row r="33" spans="1:6" ht="15" customHeight="1" x14ac:dyDescent="0.3">
      <c r="A33" s="16" t="s">
        <v>101</v>
      </c>
      <c r="C33" s="8" t="s">
        <v>125</v>
      </c>
    </row>
    <row r="34" spans="1:6" ht="15" customHeight="1" x14ac:dyDescent="0.3">
      <c r="A34" s="16" t="s">
        <v>102</v>
      </c>
      <c r="C34" s="8" t="s">
        <v>126</v>
      </c>
    </row>
    <row r="35" spans="1:6" ht="15" customHeight="1" x14ac:dyDescent="0.3">
      <c r="A35" s="16" t="s">
        <v>354</v>
      </c>
      <c r="C35" s="8" t="s">
        <v>127</v>
      </c>
    </row>
    <row r="36" spans="1:6" ht="15" customHeight="1" x14ac:dyDescent="0.3">
      <c r="C36" s="8" t="s">
        <v>128</v>
      </c>
    </row>
    <row r="37" spans="1:6" ht="15" customHeight="1" x14ac:dyDescent="0.3">
      <c r="C37" s="8" t="s">
        <v>129</v>
      </c>
    </row>
    <row r="38" spans="1:6" ht="15" customHeight="1" x14ac:dyDescent="0.3">
      <c r="C38" s="8" t="s">
        <v>130</v>
      </c>
    </row>
    <row r="39" spans="1:6" ht="15" customHeight="1" x14ac:dyDescent="0.3">
      <c r="C39" s="32" t="s">
        <v>131</v>
      </c>
      <c r="D39" s="33"/>
      <c r="E39" s="33"/>
      <c r="F39" s="33"/>
    </row>
    <row r="40" spans="1:6" ht="15" customHeight="1" x14ac:dyDescent="0.3">
      <c r="C40" s="11"/>
      <c r="D40" s="11"/>
      <c r="E40" s="11"/>
      <c r="F40" s="11"/>
    </row>
    <row r="50" spans="1:8" ht="15" customHeight="1" x14ac:dyDescent="0.3">
      <c r="A50" s="16" t="s">
        <v>103</v>
      </c>
    </row>
    <row r="51" spans="1:8" ht="15" customHeight="1" x14ac:dyDescent="0.3">
      <c r="A51" s="16" t="s">
        <v>318</v>
      </c>
    </row>
    <row r="52" spans="1:8" ht="15" customHeight="1" x14ac:dyDescent="0.3">
      <c r="A52" s="16" t="s">
        <v>356</v>
      </c>
    </row>
    <row r="53" spans="1:8" ht="15" customHeight="1" x14ac:dyDescent="0.3">
      <c r="A53" s="16" t="s">
        <v>104</v>
      </c>
    </row>
    <row r="54" spans="1:8" ht="15" customHeight="1" x14ac:dyDescent="0.3">
      <c r="A54" s="16" t="s">
        <v>105</v>
      </c>
    </row>
    <row r="55" spans="1:8" ht="15" customHeight="1" x14ac:dyDescent="0.3">
      <c r="A55" s="16" t="s">
        <v>106</v>
      </c>
      <c r="C55" s="30" t="s">
        <v>132</v>
      </c>
      <c r="E55" s="30" t="s">
        <v>134</v>
      </c>
      <c r="F55" s="44" t="s">
        <v>138</v>
      </c>
      <c r="G55" s="30" t="s">
        <v>139</v>
      </c>
      <c r="H55" s="30" t="s">
        <v>135</v>
      </c>
    </row>
    <row r="56" spans="1:8" ht="15" customHeight="1" x14ac:dyDescent="0.3">
      <c r="A56" s="16" t="s">
        <v>107</v>
      </c>
      <c r="C56" s="6" t="s">
        <v>133</v>
      </c>
      <c r="E56" s="7" t="str">
        <f>LEFT(C56,FIND(" ",C56)-1)</f>
        <v>Yvonne</v>
      </c>
      <c r="F56" s="7" t="str">
        <f>RIGHT(C56,LEN(C56)-FIND(" ",C56))</f>
        <v>Francis McKay</v>
      </c>
      <c r="G56" s="7" t="str">
        <f>LEFT(F56,FIND(" ",F56)-1)</f>
        <v>Francis</v>
      </c>
      <c r="H56" s="7" t="str">
        <f>RIGHT(F56,LEN(F56)-FIND(" ",F56))</f>
        <v>McKay</v>
      </c>
    </row>
    <row r="57" spans="1:8" ht="15" customHeight="1" x14ac:dyDescent="0.3">
      <c r="A57" s="16" t="s">
        <v>108</v>
      </c>
    </row>
    <row r="58" spans="1:8" ht="15" customHeight="1" x14ac:dyDescent="0.3">
      <c r="A58" s="16" t="s">
        <v>321</v>
      </c>
    </row>
    <row r="59" spans="1:8" ht="15" customHeight="1" x14ac:dyDescent="0.3">
      <c r="A59" s="16" t="s">
        <v>109</v>
      </c>
    </row>
    <row r="60" spans="1:8" ht="15" customHeight="1" x14ac:dyDescent="0.3">
      <c r="A60" s="16" t="s">
        <v>110</v>
      </c>
    </row>
    <row r="61" spans="1:8" ht="15" customHeight="1" x14ac:dyDescent="0.3">
      <c r="A61" s="16" t="s">
        <v>111</v>
      </c>
    </row>
    <row r="62" spans="1:8" ht="15" customHeight="1" x14ac:dyDescent="0.3">
      <c r="A62" s="45" t="s">
        <v>319</v>
      </c>
    </row>
    <row r="63" spans="1:8" ht="15" customHeight="1" x14ac:dyDescent="0.3">
      <c r="A63" s="16" t="s">
        <v>320</v>
      </c>
    </row>
    <row r="64" spans="1:8" ht="15" customHeight="1" x14ac:dyDescent="0.3">
      <c r="A64" s="16" t="s">
        <v>317</v>
      </c>
    </row>
    <row r="81" spans="1:1" ht="15" customHeight="1" x14ac:dyDescent="0.3">
      <c r="A81" s="16" t="s">
        <v>33</v>
      </c>
    </row>
    <row r="82" spans="1:1" ht="15" customHeight="1" x14ac:dyDescent="0.3">
      <c r="A82" s="16" t="s">
        <v>112</v>
      </c>
    </row>
    <row r="83" spans="1:1" ht="15" customHeight="1" x14ac:dyDescent="0.3">
      <c r="A83" s="16" t="s">
        <v>113</v>
      </c>
    </row>
    <row r="84" spans="1:1" ht="15" customHeight="1" x14ac:dyDescent="0.3">
      <c r="A84" s="16" t="s">
        <v>114</v>
      </c>
    </row>
    <row r="85" spans="1:1" ht="15" customHeight="1" x14ac:dyDescent="0.3">
      <c r="A85" s="16" t="s">
        <v>115</v>
      </c>
    </row>
    <row r="86" spans="1:1" ht="15" customHeight="1" x14ac:dyDescent="0.3">
      <c r="A86" s="16" t="s">
        <v>116</v>
      </c>
    </row>
    <row r="87" spans="1:1" ht="15" customHeight="1" x14ac:dyDescent="0.3">
      <c r="A87" s="16" t="s">
        <v>117</v>
      </c>
    </row>
    <row r="88" spans="1:1" ht="15" customHeight="1" x14ac:dyDescent="0.3">
      <c r="A88" s="16" t="s">
        <v>38</v>
      </c>
    </row>
  </sheetData>
  <hyperlinks>
    <hyperlink ref="A82" r:id="rId1" tooltip="Selecione para aceder à Web e saber como dividir texto em colunas diferentes" xr:uid="{00000000-0004-0000-0300-000000000000}"/>
    <hyperlink ref="A83" r:id="rId2" tooltip="Selecione para aceder à Web e saber tudo sobre a funcionalidade Obter e Transformar" xr:uid="{00000000-0004-0000-0300-000001000000}"/>
    <hyperlink ref="A84" r:id="rId3" tooltip="Selecione para aceder à Web e saber tudo sobre a função ESQUERDA" xr:uid="{00000000-0004-0000-0300-000002000000}"/>
    <hyperlink ref="A85" r:id="rId4" tooltip="Selecione para aceder à Web e saber tudo sobre a função DIREITA" xr:uid="{00000000-0004-0000-0300-000003000000}"/>
    <hyperlink ref="A86" r:id="rId5" tooltip="Selecione para aceder à Web e saber tudo sobre a função LOCALIZAR" xr:uid="{00000000-0004-0000-0300-000004000000}"/>
    <hyperlink ref="A87" r:id="rId6" tooltip="Selecione para aceder à Web e saber tudo sobre a função NÚM.CARAT" xr:uid="{00000000-0004-0000-0300-000005000000}"/>
  </hyperlinks>
  <pageMargins left="0.7" right="0.7" top="0.75" bottom="0.75" header="0.3" footer="0.3"/>
  <pageSetup paperSize="9"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80"/>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2" customWidth="1"/>
    <col min="4" max="4" width="8.6640625" customWidth="1"/>
  </cols>
  <sheetData>
    <row r="1" spans="1:8" ht="60" customHeight="1" x14ac:dyDescent="0.3">
      <c r="A1" s="16" t="s">
        <v>140</v>
      </c>
    </row>
    <row r="2" spans="1:8" ht="15" customHeight="1" x14ac:dyDescent="0.3">
      <c r="A2" s="16" t="s">
        <v>141</v>
      </c>
    </row>
    <row r="3" spans="1:8" ht="15" customHeight="1" x14ac:dyDescent="0.3">
      <c r="A3" s="16" t="s">
        <v>331</v>
      </c>
    </row>
    <row r="4" spans="1:8" ht="15" customHeight="1" x14ac:dyDescent="0.3">
      <c r="A4" s="16" t="s">
        <v>142</v>
      </c>
    </row>
    <row r="5" spans="1:8" s="3" customFormat="1" ht="15" customHeight="1" x14ac:dyDescent="0.3">
      <c r="A5" s="16" t="s">
        <v>143</v>
      </c>
      <c r="B5"/>
      <c r="C5" s="30" t="s">
        <v>44</v>
      </c>
      <c r="D5" s="6" t="s">
        <v>45</v>
      </c>
      <c r="E5" s="6" t="s">
        <v>46</v>
      </c>
      <c r="F5" s="6" t="s">
        <v>47</v>
      </c>
      <c r="G5" s="6" t="s">
        <v>48</v>
      </c>
      <c r="H5" s="6" t="s">
        <v>49</v>
      </c>
    </row>
    <row r="6" spans="1:8" s="3" customFormat="1" ht="15" customHeight="1" x14ac:dyDescent="0.3">
      <c r="A6" s="16" t="s">
        <v>349</v>
      </c>
      <c r="B6"/>
      <c r="C6" s="30" t="s">
        <v>51</v>
      </c>
      <c r="D6" s="6">
        <v>50</v>
      </c>
      <c r="E6" s="6">
        <v>100</v>
      </c>
      <c r="F6" s="6">
        <v>40</v>
      </c>
      <c r="G6" s="6">
        <v>50</v>
      </c>
      <c r="H6" s="6">
        <v>20</v>
      </c>
    </row>
    <row r="7" spans="1:8" s="3" customFormat="1" ht="15" customHeight="1" x14ac:dyDescent="0.3">
      <c r="A7" s="16" t="s">
        <v>144</v>
      </c>
      <c r="B7"/>
      <c r="C7"/>
      <c r="D7"/>
      <c r="E7"/>
      <c r="F7"/>
      <c r="G7"/>
      <c r="H7"/>
    </row>
    <row r="8" spans="1:8" s="3" customFormat="1" ht="15" customHeight="1" x14ac:dyDescent="0.3">
      <c r="A8" s="16" t="s">
        <v>145</v>
      </c>
      <c r="B8"/>
      <c r="C8"/>
      <c r="D8"/>
      <c r="E8"/>
      <c r="F8"/>
      <c r="G8"/>
      <c r="H8"/>
    </row>
    <row r="9" spans="1:8" s="3" customFormat="1" ht="15" customHeight="1" x14ac:dyDescent="0.3">
      <c r="A9" s="16" t="s">
        <v>12</v>
      </c>
      <c r="B9" t="s">
        <v>160</v>
      </c>
      <c r="C9" s="7"/>
      <c r="D9"/>
      <c r="E9"/>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146</v>
      </c>
    </row>
    <row r="28" spans="1:8" ht="15" customHeight="1" x14ac:dyDescent="0.3">
      <c r="A28" s="16" t="s">
        <v>147</v>
      </c>
    </row>
    <row r="29" spans="1:8" ht="15" customHeight="1" x14ac:dyDescent="0.3">
      <c r="A29" s="16" t="s">
        <v>148</v>
      </c>
    </row>
    <row r="30" spans="1:8" ht="15" customHeight="1" x14ac:dyDescent="0.3">
      <c r="A30" s="45" t="s">
        <v>336</v>
      </c>
    </row>
    <row r="31" spans="1:8" ht="15" customHeight="1" x14ac:dyDescent="0.3">
      <c r="A31" s="16" t="s">
        <v>149</v>
      </c>
    </row>
    <row r="32" spans="1:8" ht="15" customHeight="1" x14ac:dyDescent="0.3">
      <c r="A32" s="45" t="s">
        <v>150</v>
      </c>
    </row>
    <row r="33" spans="1:8" ht="15" customHeight="1" x14ac:dyDescent="0.3">
      <c r="A33" s="16" t="s">
        <v>335</v>
      </c>
      <c r="C33" s="30" t="s">
        <v>44</v>
      </c>
      <c r="D33" s="6" t="s">
        <v>45</v>
      </c>
      <c r="E33" s="6" t="s">
        <v>46</v>
      </c>
      <c r="F33" s="6" t="s">
        <v>47</v>
      </c>
      <c r="G33" s="6" t="s">
        <v>48</v>
      </c>
      <c r="H33" s="6" t="s">
        <v>49</v>
      </c>
    </row>
    <row r="34" spans="1:8" ht="15" customHeight="1" x14ac:dyDescent="0.3">
      <c r="C34" s="30" t="s">
        <v>51</v>
      </c>
      <c r="D34" s="6">
        <v>50</v>
      </c>
      <c r="E34" s="6">
        <v>100</v>
      </c>
      <c r="F34" s="6">
        <v>40</v>
      </c>
      <c r="G34" s="6">
        <v>50</v>
      </c>
      <c r="H34" s="6">
        <v>20</v>
      </c>
    </row>
    <row r="40" spans="1:8" ht="15" customHeight="1" x14ac:dyDescent="0.3">
      <c r="C40" s="7"/>
      <c r="D40" s="7"/>
    </row>
    <row r="41" spans="1:8" ht="15" customHeight="1" x14ac:dyDescent="0.3">
      <c r="C41" s="7"/>
      <c r="D41" s="7"/>
    </row>
    <row r="42" spans="1:8" ht="15" customHeight="1" x14ac:dyDescent="0.3">
      <c r="C42" s="7"/>
      <c r="D42" s="7"/>
    </row>
    <row r="43" spans="1:8" ht="15" customHeight="1" x14ac:dyDescent="0.3">
      <c r="C43" s="7"/>
      <c r="D43" s="7"/>
    </row>
    <row r="44" spans="1:8" ht="15" customHeight="1" x14ac:dyDescent="0.3">
      <c r="C44" s="7"/>
      <c r="D44" s="7"/>
    </row>
    <row r="45" spans="1:8" ht="15" customHeight="1" x14ac:dyDescent="0.3">
      <c r="C45" s="7"/>
      <c r="D45" s="7"/>
    </row>
    <row r="57" spans="1:1" ht="15" customHeight="1" x14ac:dyDescent="0.3">
      <c r="A57" s="16" t="s">
        <v>151</v>
      </c>
    </row>
    <row r="58" spans="1:1" ht="15" customHeight="1" x14ac:dyDescent="0.3">
      <c r="A58" s="16" t="s">
        <v>152</v>
      </c>
    </row>
    <row r="59" spans="1:1" ht="15" customHeight="1" x14ac:dyDescent="0.3">
      <c r="A59" s="16" t="s">
        <v>153</v>
      </c>
    </row>
    <row r="60" spans="1:1" ht="15" customHeight="1" x14ac:dyDescent="0.3">
      <c r="A60" s="45" t="s">
        <v>154</v>
      </c>
    </row>
    <row r="61" spans="1:1" ht="15" customHeight="1" x14ac:dyDescent="0.3">
      <c r="A61" s="16" t="s">
        <v>155</v>
      </c>
    </row>
    <row r="62" spans="1:1" ht="15" customHeight="1" x14ac:dyDescent="0.3">
      <c r="A62" s="16" t="s">
        <v>334</v>
      </c>
    </row>
    <row r="76" spans="1:1" ht="15" customHeight="1" x14ac:dyDescent="0.3">
      <c r="A76" s="16" t="s">
        <v>33</v>
      </c>
    </row>
    <row r="77" spans="1:1" ht="15" customHeight="1" x14ac:dyDescent="0.3">
      <c r="A77" s="16" t="s">
        <v>157</v>
      </c>
    </row>
    <row r="78" spans="1:1" ht="15" customHeight="1" x14ac:dyDescent="0.3">
      <c r="A78" s="16" t="s">
        <v>158</v>
      </c>
    </row>
    <row r="79" spans="1:1" ht="15" customHeight="1" x14ac:dyDescent="0.3">
      <c r="A79" s="16" t="s">
        <v>159</v>
      </c>
    </row>
    <row r="80" spans="1:1" ht="15" customHeight="1" x14ac:dyDescent="0.3">
      <c r="A80" s="16" t="s">
        <v>38</v>
      </c>
    </row>
  </sheetData>
  <hyperlinks>
    <hyperlink ref="A79" r:id="rId1" tooltip="Selecione para aceder à Web e saber como criar uma fórmula de matriz" xr:uid="{00000000-0004-0000-0400-000000000000}"/>
    <hyperlink ref="A78" r:id="rId2" tooltip="Selecione para aceder à Web e saber tudo sobre a função TRANSPOR" xr:uid="{00000000-0004-0000-0400-000001000000}"/>
    <hyperlink ref="A77" r:id="rId3" tooltip="Selecione para aceder à Web e saber como Transpor (rodar) dados de linhas para colunas ou vice-versa" xr:uid="{00000000-0004-0000-0400-000002000000}"/>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9"/>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9" customWidth="1"/>
    <col min="4" max="4" width="16.5546875" customWidth="1"/>
    <col min="5" max="5" width="12.33203125" customWidth="1"/>
    <col min="6" max="6" width="11" customWidth="1"/>
    <col min="7" max="7" width="10.88671875" customWidth="1"/>
  </cols>
  <sheetData>
    <row r="1" spans="1:7" ht="60" customHeight="1" x14ac:dyDescent="0.3">
      <c r="A1" s="16" t="s">
        <v>161</v>
      </c>
    </row>
    <row r="2" spans="1:7" ht="15" customHeight="1" x14ac:dyDescent="0.3">
      <c r="A2" s="16" t="s">
        <v>332</v>
      </c>
    </row>
    <row r="3" spans="1:7" ht="15" customHeight="1" x14ac:dyDescent="0.3">
      <c r="A3" s="16" t="s">
        <v>350</v>
      </c>
    </row>
    <row r="4" spans="1:7" ht="15" customHeight="1" x14ac:dyDescent="0.3">
      <c r="A4" s="16" t="s">
        <v>351</v>
      </c>
    </row>
    <row r="5" spans="1:7" s="3" customFormat="1" ht="15" customHeight="1" x14ac:dyDescent="0.3">
      <c r="A5" s="16" t="s">
        <v>352</v>
      </c>
      <c r="B5"/>
      <c r="C5" s="30" t="s">
        <v>171</v>
      </c>
      <c r="D5" s="30" t="s">
        <v>81</v>
      </c>
      <c r="E5" s="30" t="s">
        <v>187</v>
      </c>
      <c r="F5" s="30" t="s">
        <v>189</v>
      </c>
      <c r="G5" s="30" t="s">
        <v>191</v>
      </c>
    </row>
    <row r="6" spans="1:7" s="3" customFormat="1" ht="15" customHeight="1" x14ac:dyDescent="0.3">
      <c r="A6" s="16" t="s">
        <v>162</v>
      </c>
      <c r="B6"/>
      <c r="C6" s="6" t="s">
        <v>53</v>
      </c>
      <c r="D6" s="6" t="s">
        <v>54</v>
      </c>
      <c r="E6" s="47">
        <v>90000</v>
      </c>
      <c r="F6" s="47">
        <v>110000</v>
      </c>
      <c r="G6" s="47">
        <v>120000</v>
      </c>
    </row>
    <row r="7" spans="1:7" s="3" customFormat="1" ht="15" customHeight="1" x14ac:dyDescent="0.3">
      <c r="A7" s="16" t="s">
        <v>163</v>
      </c>
      <c r="B7"/>
      <c r="C7" t="s">
        <v>172</v>
      </c>
      <c r="D7" t="s">
        <v>175</v>
      </c>
      <c r="E7" s="37">
        <v>25000</v>
      </c>
      <c r="F7" s="37">
        <v>80000</v>
      </c>
      <c r="G7" s="37">
        <v>120000</v>
      </c>
    </row>
    <row r="8" spans="1:7" s="3" customFormat="1" ht="15" customHeight="1" x14ac:dyDescent="0.3">
      <c r="A8" s="16" t="s">
        <v>12</v>
      </c>
      <c r="B8"/>
      <c r="C8" s="54" t="s">
        <v>77</v>
      </c>
      <c r="D8" s="6" t="s">
        <v>39</v>
      </c>
      <c r="E8" s="47">
        <v>10000</v>
      </c>
      <c r="F8" s="47">
        <v>30000</v>
      </c>
      <c r="G8" s="47">
        <v>40000</v>
      </c>
    </row>
    <row r="9" spans="1:7" s="3" customFormat="1" ht="15" customHeight="1" x14ac:dyDescent="0.3">
      <c r="A9" s="16"/>
      <c r="B9"/>
      <c r="C9" t="s">
        <v>77</v>
      </c>
      <c r="D9" t="s">
        <v>176</v>
      </c>
      <c r="E9" s="37">
        <v>30000</v>
      </c>
      <c r="F9" s="37">
        <v>80000</v>
      </c>
      <c r="G9" s="37">
        <v>30000</v>
      </c>
    </row>
    <row r="10" spans="1:7" s="3" customFormat="1" ht="15" customHeight="1" x14ac:dyDescent="0.3">
      <c r="A10" s="16"/>
      <c r="B10"/>
      <c r="C10" s="6" t="s">
        <v>173</v>
      </c>
      <c r="D10" s="6" t="s">
        <v>177</v>
      </c>
      <c r="E10" s="47">
        <v>90000</v>
      </c>
      <c r="F10" s="47">
        <v>35000</v>
      </c>
      <c r="G10" s="47">
        <v>25000</v>
      </c>
    </row>
    <row r="11" spans="1:7" s="3" customFormat="1" ht="15" customHeight="1" x14ac:dyDescent="0.3">
      <c r="A11" s="16"/>
      <c r="B11"/>
      <c r="C11" t="s">
        <v>53</v>
      </c>
      <c r="D11" t="s">
        <v>55</v>
      </c>
      <c r="E11" s="37">
        <v>75000</v>
      </c>
      <c r="F11" s="37">
        <v>82000</v>
      </c>
      <c r="G11" s="37">
        <v>2000000</v>
      </c>
    </row>
    <row r="12" spans="1:7" s="3" customFormat="1" ht="15" customHeight="1" x14ac:dyDescent="0.3">
      <c r="A12" s="16"/>
      <c r="B12"/>
      <c r="C12" s="6" t="s">
        <v>172</v>
      </c>
      <c r="D12" s="6" t="s">
        <v>178</v>
      </c>
      <c r="E12" s="31">
        <v>30000</v>
      </c>
      <c r="F12" s="31">
        <v>15000</v>
      </c>
      <c r="G12" s="31">
        <v>20000</v>
      </c>
    </row>
    <row r="13" spans="1:7" s="3" customFormat="1" ht="15" customHeight="1" x14ac:dyDescent="0.3">
      <c r="A13" s="16"/>
      <c r="B13"/>
      <c r="C13" t="s">
        <v>173</v>
      </c>
      <c r="D13" t="s">
        <v>179</v>
      </c>
      <c r="E13" s="37">
        <v>80000</v>
      </c>
      <c r="F13" s="37">
        <v>40000</v>
      </c>
      <c r="G13" s="37">
        <v>20000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164</v>
      </c>
    </row>
    <row r="28" spans="1:7" ht="15" customHeight="1" x14ac:dyDescent="0.3">
      <c r="A28" s="16" t="s">
        <v>165</v>
      </c>
    </row>
    <row r="29" spans="1:7" ht="15" customHeight="1" x14ac:dyDescent="0.3">
      <c r="A29" s="16" t="s">
        <v>357</v>
      </c>
    </row>
    <row r="30" spans="1:7" ht="15" customHeight="1" x14ac:dyDescent="0.3">
      <c r="A30" s="16" t="s">
        <v>166</v>
      </c>
    </row>
    <row r="31" spans="1:7" ht="15" customHeight="1" x14ac:dyDescent="0.3">
      <c r="A31" s="16" t="s">
        <v>167</v>
      </c>
      <c r="C31" t="s">
        <v>174</v>
      </c>
      <c r="D31" t="s">
        <v>180</v>
      </c>
      <c r="E31" t="s">
        <v>188</v>
      </c>
      <c r="F31" t="s">
        <v>190</v>
      </c>
    </row>
    <row r="32" spans="1:7" ht="15" customHeight="1" x14ac:dyDescent="0.3">
      <c r="A32" s="16" t="s">
        <v>168</v>
      </c>
      <c r="C32" s="52">
        <f ca="1">TODAY()-2</f>
        <v>46267</v>
      </c>
      <c r="D32" t="s">
        <v>181</v>
      </c>
      <c r="E32" s="50">
        <v>21</v>
      </c>
      <c r="F32" s="51">
        <v>3820</v>
      </c>
    </row>
    <row r="33" spans="1:6" ht="15" customHeight="1" x14ac:dyDescent="0.3">
      <c r="A33" s="16" t="s">
        <v>337</v>
      </c>
      <c r="C33" s="52">
        <f ca="1">TODAY()-3</f>
        <v>46266</v>
      </c>
      <c r="D33" t="s">
        <v>182</v>
      </c>
      <c r="E33" s="50">
        <v>62</v>
      </c>
      <c r="F33" s="50">
        <v>2112</v>
      </c>
    </row>
    <row r="34" spans="1:6" ht="15" customHeight="1" x14ac:dyDescent="0.3">
      <c r="C34" s="52">
        <f ca="1">TODAY()-6</f>
        <v>46263</v>
      </c>
      <c r="D34" t="s">
        <v>183</v>
      </c>
      <c r="E34" s="50">
        <v>25</v>
      </c>
      <c r="F34" s="50">
        <v>1611</v>
      </c>
    </row>
    <row r="35" spans="1:6" ht="15" customHeight="1" x14ac:dyDescent="0.3">
      <c r="C35" s="52">
        <f ca="1">TODAY()</f>
        <v>46269</v>
      </c>
      <c r="D35" t="s">
        <v>184</v>
      </c>
      <c r="E35" s="50">
        <v>30</v>
      </c>
      <c r="F35" s="51">
        <v>3085</v>
      </c>
    </row>
    <row r="36" spans="1:6" ht="15" customHeight="1" x14ac:dyDescent="0.3">
      <c r="C36" s="52">
        <f ca="1">TODAY()-4</f>
        <v>46265</v>
      </c>
      <c r="D36" t="s">
        <v>185</v>
      </c>
      <c r="E36" s="50">
        <v>69</v>
      </c>
      <c r="F36" s="50">
        <v>528</v>
      </c>
    </row>
    <row r="37" spans="1:6" ht="15" customHeight="1" x14ac:dyDescent="0.3">
      <c r="C37" s="52">
        <f ca="1">TODAY()-5</f>
        <v>46264</v>
      </c>
      <c r="D37" t="s">
        <v>186</v>
      </c>
      <c r="E37" s="50">
        <v>45</v>
      </c>
      <c r="F37" s="51">
        <v>5050</v>
      </c>
    </row>
    <row r="45" spans="1:6" ht="15" customHeight="1" x14ac:dyDescent="0.3">
      <c r="A45" s="16" t="s">
        <v>169</v>
      </c>
    </row>
    <row r="46" spans="1:6" ht="15" customHeight="1" x14ac:dyDescent="0.3">
      <c r="A46" s="16" t="s">
        <v>358</v>
      </c>
    </row>
    <row r="47" spans="1:6" ht="15" customHeight="1" x14ac:dyDescent="0.3">
      <c r="A47" s="16" t="s">
        <v>170</v>
      </c>
    </row>
    <row r="48" spans="1:6" ht="15" customHeight="1" x14ac:dyDescent="0.3">
      <c r="A48" s="16" t="s">
        <v>359</v>
      </c>
    </row>
    <row r="49" spans="1:6" ht="15" customHeight="1" x14ac:dyDescent="0.3">
      <c r="A49" s="16" t="s">
        <v>26</v>
      </c>
      <c r="C49" t="s">
        <v>174</v>
      </c>
      <c r="D49" t="s">
        <v>180</v>
      </c>
      <c r="E49" t="s">
        <v>188</v>
      </c>
      <c r="F49" t="s">
        <v>190</v>
      </c>
    </row>
    <row r="50" spans="1:6" ht="15" customHeight="1" x14ac:dyDescent="0.3">
      <c r="C50" s="52">
        <f ca="1">TODAY()-2</f>
        <v>46267</v>
      </c>
      <c r="D50" t="s">
        <v>181</v>
      </c>
      <c r="E50" s="50">
        <v>21</v>
      </c>
      <c r="F50" s="50">
        <v>3820</v>
      </c>
    </row>
    <row r="51" spans="1:6" ht="15" customHeight="1" x14ac:dyDescent="0.3">
      <c r="C51" s="52">
        <f ca="1">TODAY()-3</f>
        <v>46266</v>
      </c>
      <c r="D51" t="s">
        <v>182</v>
      </c>
      <c r="E51" s="50">
        <v>62</v>
      </c>
      <c r="F51" s="50">
        <v>2112</v>
      </c>
    </row>
    <row r="52" spans="1:6" ht="15" customHeight="1" x14ac:dyDescent="0.3">
      <c r="C52" s="52">
        <f ca="1">TODAY()</f>
        <v>46269</v>
      </c>
      <c r="D52" t="s">
        <v>184</v>
      </c>
      <c r="E52" s="50">
        <v>30</v>
      </c>
      <c r="F52" s="50">
        <v>3085</v>
      </c>
    </row>
    <row r="53" spans="1:6" ht="15" customHeight="1" x14ac:dyDescent="0.3">
      <c r="C53" s="52">
        <f ca="1">TODAY()-6</f>
        <v>46263</v>
      </c>
      <c r="D53" t="s">
        <v>183</v>
      </c>
      <c r="E53" s="50">
        <v>25</v>
      </c>
      <c r="F53" s="50">
        <v>1611</v>
      </c>
    </row>
    <row r="54" spans="1:6" ht="15" customHeight="1" x14ac:dyDescent="0.3">
      <c r="C54" s="52">
        <f ca="1">TODAY()-5</f>
        <v>46264</v>
      </c>
      <c r="D54" t="s">
        <v>186</v>
      </c>
      <c r="E54" s="50">
        <v>45</v>
      </c>
      <c r="F54" s="50">
        <v>5050</v>
      </c>
    </row>
    <row r="55" spans="1:6" ht="15" customHeight="1" x14ac:dyDescent="0.3">
      <c r="C55" s="52">
        <f ca="1">TODAY()-4</f>
        <v>46265</v>
      </c>
      <c r="D55" t="s">
        <v>185</v>
      </c>
      <c r="E55" s="50">
        <v>69</v>
      </c>
      <c r="F55" s="50">
        <v>528</v>
      </c>
    </row>
    <row r="66" spans="1:1" ht="15" customHeight="1" x14ac:dyDescent="0.3">
      <c r="A66" s="16" t="s">
        <v>33</v>
      </c>
    </row>
    <row r="67" spans="1:1" ht="15" customHeight="1" x14ac:dyDescent="0.3">
      <c r="A67" s="45" t="s">
        <v>338</v>
      </c>
    </row>
    <row r="68" spans="1:1" ht="15" customHeight="1" x14ac:dyDescent="0.3">
      <c r="A68" s="16" t="s">
        <v>339</v>
      </c>
    </row>
    <row r="69" spans="1:1" ht="15" customHeight="1" x14ac:dyDescent="0.3">
      <c r="A69" s="16" t="s">
        <v>38</v>
      </c>
    </row>
  </sheetData>
  <sortState xmlns:xlrd2="http://schemas.microsoft.com/office/spreadsheetml/2017/richdata2" ref="C6:G13">
    <sortCondition ref="G5"/>
  </sortState>
  <hyperlinks>
    <hyperlink ref="A68" r:id="rId1" tooltip="Selecione para aceder à Web e saber como filtrar dados num intervalo ou tabela" display="Filtrar dados num intervalo ou tabela" xr:uid="{00000000-0004-0000-0500-000000000000}"/>
    <hyperlink ref="A67" r:id="rId2" tooltip="Selecione para aceder à Web e saber como ordenar dados num intervalo ou tabela" display="Ordenar dados num intervalo ou tabela" xr:uid="{00000000-0004-0000-0500-000001000000}"/>
  </hyperlinks>
  <pageMargins left="0.7" right="0.7" top="0.75" bottom="0.75" header="0.3" footer="0.3"/>
  <pageSetup paperSize="9"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76"/>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9" customWidth="1"/>
    <col min="4" max="4" width="15.44140625" customWidth="1"/>
    <col min="5" max="5" width="10.6640625" customWidth="1"/>
    <col min="6" max="8" width="9.33203125" customWidth="1"/>
  </cols>
  <sheetData>
    <row r="1" spans="1:9" ht="60" customHeight="1" x14ac:dyDescent="0.85">
      <c r="A1" s="16" t="s">
        <v>192</v>
      </c>
      <c r="B1" s="1"/>
    </row>
    <row r="2" spans="1:9" ht="15" customHeight="1" x14ac:dyDescent="0.3">
      <c r="A2" s="16" t="s">
        <v>193</v>
      </c>
    </row>
    <row r="3" spans="1:9" ht="15" customHeight="1" x14ac:dyDescent="0.45">
      <c r="A3" s="16" t="s">
        <v>194</v>
      </c>
      <c r="B3" s="2"/>
    </row>
    <row r="4" spans="1:9" ht="15" customHeight="1" x14ac:dyDescent="0.3">
      <c r="A4" s="16" t="s">
        <v>363</v>
      </c>
    </row>
    <row r="5" spans="1:9" s="3" customFormat="1" ht="15" customHeight="1" x14ac:dyDescent="0.3">
      <c r="A5" s="16" t="s">
        <v>195</v>
      </c>
      <c r="C5" t="s">
        <v>171</v>
      </c>
      <c r="D5" t="s">
        <v>81</v>
      </c>
      <c r="E5" t="s">
        <v>187</v>
      </c>
      <c r="F5" t="s">
        <v>189</v>
      </c>
      <c r="G5" t="s">
        <v>191</v>
      </c>
      <c r="H5"/>
      <c r="I5"/>
    </row>
    <row r="6" spans="1:9" s="3" customFormat="1" ht="15" customHeight="1" x14ac:dyDescent="0.45">
      <c r="A6" s="16" t="s">
        <v>196</v>
      </c>
      <c r="B6" s="4"/>
      <c r="C6" t="s">
        <v>77</v>
      </c>
      <c r="D6" t="s">
        <v>176</v>
      </c>
      <c r="E6">
        <v>30000</v>
      </c>
      <c r="F6">
        <v>80000</v>
      </c>
      <c r="G6">
        <v>30000</v>
      </c>
      <c r="H6"/>
      <c r="I6"/>
    </row>
    <row r="7" spans="1:9" s="3" customFormat="1" ht="15" customHeight="1" x14ac:dyDescent="0.3">
      <c r="A7" s="16" t="s">
        <v>197</v>
      </c>
      <c r="C7" t="s">
        <v>77</v>
      </c>
      <c r="D7" t="s">
        <v>39</v>
      </c>
      <c r="E7">
        <v>10000</v>
      </c>
      <c r="F7">
        <v>30000</v>
      </c>
      <c r="G7">
        <v>40000</v>
      </c>
      <c r="H7"/>
      <c r="I7"/>
    </row>
    <row r="8" spans="1:9" s="3" customFormat="1" ht="15" customHeight="1" x14ac:dyDescent="0.3">
      <c r="A8" s="16" t="s">
        <v>198</v>
      </c>
      <c r="C8" t="s">
        <v>172</v>
      </c>
      <c r="D8" t="s">
        <v>45</v>
      </c>
      <c r="E8">
        <v>30000</v>
      </c>
      <c r="F8">
        <v>15000</v>
      </c>
      <c r="G8">
        <v>20000</v>
      </c>
      <c r="H8"/>
      <c r="I8"/>
    </row>
    <row r="9" spans="1:9" s="3" customFormat="1" ht="15" customHeight="1" x14ac:dyDescent="0.3">
      <c r="A9" s="45" t="s">
        <v>376</v>
      </c>
      <c r="C9" t="s">
        <v>172</v>
      </c>
      <c r="D9" t="s">
        <v>175</v>
      </c>
      <c r="E9">
        <v>25000</v>
      </c>
      <c r="F9">
        <v>80000</v>
      </c>
      <c r="G9">
        <v>120000</v>
      </c>
      <c r="H9"/>
      <c r="I9"/>
    </row>
    <row r="10" spans="1:9" s="3" customFormat="1" ht="15" customHeight="1" x14ac:dyDescent="0.3">
      <c r="A10" s="16" t="s">
        <v>12</v>
      </c>
      <c r="C10" t="s">
        <v>173</v>
      </c>
      <c r="D10" t="s">
        <v>218</v>
      </c>
      <c r="E10">
        <v>80000</v>
      </c>
      <c r="F10">
        <v>40000</v>
      </c>
      <c r="G10">
        <v>20000</v>
      </c>
      <c r="H10"/>
      <c r="I10"/>
    </row>
    <row r="11" spans="1:9" s="3" customFormat="1" ht="15" customHeight="1" x14ac:dyDescent="0.3">
      <c r="A11" s="16"/>
      <c r="C11" t="s">
        <v>173</v>
      </c>
      <c r="D11" t="s">
        <v>177</v>
      </c>
      <c r="E11">
        <v>90000</v>
      </c>
      <c r="F11">
        <v>35000</v>
      </c>
      <c r="G11">
        <v>25000</v>
      </c>
      <c r="H11"/>
      <c r="I11"/>
    </row>
    <row r="12" spans="1:9" s="3" customFormat="1" ht="15" customHeight="1" x14ac:dyDescent="0.3">
      <c r="A12" s="16"/>
      <c r="C12" t="s">
        <v>53</v>
      </c>
      <c r="D12" t="s">
        <v>54</v>
      </c>
      <c r="E12">
        <v>90000</v>
      </c>
      <c r="F12">
        <v>110000</v>
      </c>
      <c r="G12">
        <v>200000</v>
      </c>
      <c r="H12"/>
      <c r="I12"/>
    </row>
    <row r="13" spans="1:9" s="3" customFormat="1" ht="15" customHeight="1" x14ac:dyDescent="0.3">
      <c r="A13" s="16"/>
      <c r="C13" t="s">
        <v>53</v>
      </c>
      <c r="D13" t="s">
        <v>55</v>
      </c>
      <c r="E13">
        <v>75000</v>
      </c>
      <c r="F13">
        <v>82000</v>
      </c>
      <c r="G13">
        <v>150000</v>
      </c>
      <c r="H13"/>
      <c r="I13"/>
    </row>
    <row r="14" spans="1:9" s="3" customFormat="1" ht="15" customHeight="1" x14ac:dyDescent="0.3">
      <c r="A14" s="16"/>
      <c r="C14"/>
      <c r="D14"/>
      <c r="E14"/>
      <c r="F14"/>
      <c r="G14"/>
      <c r="H14"/>
    </row>
    <row r="15" spans="1:9" s="3" customFormat="1" ht="15" customHeight="1" x14ac:dyDescent="0.3">
      <c r="A15" s="16"/>
      <c r="C15"/>
      <c r="D15"/>
      <c r="E15"/>
      <c r="F15"/>
      <c r="G15"/>
      <c r="H15"/>
    </row>
    <row r="16" spans="1:9" s="3" customFormat="1" ht="15" customHeight="1" x14ac:dyDescent="0.3">
      <c r="A16" s="16"/>
      <c r="C16"/>
      <c r="D16"/>
      <c r="E16"/>
      <c r="F16"/>
      <c r="G16"/>
      <c r="H16"/>
    </row>
    <row r="17" spans="1:8" s="3" customFormat="1" ht="15" customHeight="1" x14ac:dyDescent="0.3">
      <c r="A17" s="16"/>
      <c r="C17"/>
      <c r="D17"/>
      <c r="E17"/>
      <c r="F17"/>
      <c r="G17"/>
      <c r="H17"/>
    </row>
    <row r="18" spans="1:8" s="3" customFormat="1" ht="15" customHeight="1" x14ac:dyDescent="0.3">
      <c r="A18" s="16"/>
      <c r="C18"/>
      <c r="D18"/>
      <c r="E18"/>
      <c r="F18"/>
      <c r="G18"/>
      <c r="H18"/>
    </row>
    <row r="19" spans="1:8" s="3" customFormat="1" ht="15" customHeight="1" x14ac:dyDescent="0.3">
      <c r="A19" s="16"/>
      <c r="C19"/>
      <c r="D19"/>
      <c r="E19"/>
      <c r="F19"/>
      <c r="G19"/>
      <c r="H19"/>
    </row>
    <row r="20" spans="1:8" s="3" customFormat="1" ht="15" customHeight="1" x14ac:dyDescent="0.3">
      <c r="A20" s="16"/>
      <c r="C20"/>
      <c r="D20"/>
      <c r="E20"/>
      <c r="F20"/>
      <c r="G20"/>
      <c r="H20"/>
    </row>
    <row r="21" spans="1:8" s="3" customFormat="1" ht="15" customHeight="1" x14ac:dyDescent="0.3">
      <c r="A21" s="16"/>
      <c r="C21"/>
      <c r="D21"/>
      <c r="E21"/>
      <c r="F21"/>
      <c r="G21"/>
      <c r="H21"/>
    </row>
    <row r="22" spans="1:8" s="3" customFormat="1" ht="15" customHeight="1" x14ac:dyDescent="0.3">
      <c r="A22" s="16"/>
    </row>
    <row r="23" spans="1:8" s="3" customFormat="1" ht="15" customHeight="1" x14ac:dyDescent="0.3">
      <c r="A23" s="16"/>
    </row>
    <row r="24" spans="1:8" s="3" customFormat="1" ht="15" customHeight="1" x14ac:dyDescent="0.3">
      <c r="A24" s="16"/>
    </row>
    <row r="27" spans="1:8" ht="15" customHeight="1" x14ac:dyDescent="0.3">
      <c r="A27" s="16" t="s">
        <v>199</v>
      </c>
    </row>
    <row r="28" spans="1:8" ht="15" customHeight="1" x14ac:dyDescent="0.3">
      <c r="A28" s="16" t="s">
        <v>200</v>
      </c>
    </row>
    <row r="29" spans="1:8" ht="15" customHeight="1" x14ac:dyDescent="0.3">
      <c r="A29" s="16" t="s">
        <v>201</v>
      </c>
    </row>
    <row r="30" spans="1:8" ht="15" customHeight="1" x14ac:dyDescent="0.3">
      <c r="A30" s="16" t="s">
        <v>202</v>
      </c>
    </row>
    <row r="31" spans="1:8" ht="15" customHeight="1" x14ac:dyDescent="0.3">
      <c r="A31" s="16" t="s">
        <v>203</v>
      </c>
    </row>
    <row r="32" spans="1:8" ht="15" customHeight="1" x14ac:dyDescent="0.3">
      <c r="A32" s="16" t="s">
        <v>204</v>
      </c>
    </row>
    <row r="33" spans="1:8" ht="15" customHeight="1" x14ac:dyDescent="0.3">
      <c r="A33" s="16" t="s">
        <v>205</v>
      </c>
      <c r="C33" s="30" t="s">
        <v>171</v>
      </c>
      <c r="D33" s="30" t="s">
        <v>81</v>
      </c>
      <c r="E33" s="30" t="s">
        <v>187</v>
      </c>
      <c r="F33" s="30" t="s">
        <v>189</v>
      </c>
      <c r="G33" s="30" t="s">
        <v>191</v>
      </c>
      <c r="H33" s="30" t="s">
        <v>220</v>
      </c>
    </row>
    <row r="34" spans="1:8" ht="15" customHeight="1" x14ac:dyDescent="0.3">
      <c r="C34" s="5" t="s">
        <v>77</v>
      </c>
      <c r="D34" s="5" t="s">
        <v>176</v>
      </c>
      <c r="E34" s="49">
        <v>30000</v>
      </c>
      <c r="F34" s="49">
        <v>80000</v>
      </c>
      <c r="G34" s="49">
        <v>30000</v>
      </c>
      <c r="H34" s="49"/>
    </row>
    <row r="35" spans="1:8" ht="15" customHeight="1" x14ac:dyDescent="0.3">
      <c r="C35" t="s">
        <v>77</v>
      </c>
      <c r="D35" t="s">
        <v>39</v>
      </c>
      <c r="E35" s="49">
        <v>10000</v>
      </c>
      <c r="F35" s="49">
        <v>30000</v>
      </c>
      <c r="G35" s="49">
        <v>40000</v>
      </c>
      <c r="H35" s="49"/>
    </row>
    <row r="36" spans="1:8" ht="15" customHeight="1" x14ac:dyDescent="0.3">
      <c r="C36" s="5" t="s">
        <v>172</v>
      </c>
      <c r="D36" s="5" t="s">
        <v>45</v>
      </c>
      <c r="E36" s="49">
        <v>30000</v>
      </c>
      <c r="F36" s="49">
        <v>15000</v>
      </c>
      <c r="G36" s="49">
        <v>20000</v>
      </c>
      <c r="H36" s="49"/>
    </row>
    <row r="37" spans="1:8" ht="15" customHeight="1" x14ac:dyDescent="0.3">
      <c r="C37" t="s">
        <v>172</v>
      </c>
      <c r="D37" t="s">
        <v>175</v>
      </c>
      <c r="E37" s="49">
        <v>25000</v>
      </c>
      <c r="F37" s="49">
        <v>80000</v>
      </c>
      <c r="G37" s="49">
        <v>120000</v>
      </c>
      <c r="H37" s="49"/>
    </row>
    <row r="38" spans="1:8" ht="15" customHeight="1" x14ac:dyDescent="0.3">
      <c r="C38" s="5" t="s">
        <v>173</v>
      </c>
      <c r="D38" s="5" t="s">
        <v>179</v>
      </c>
      <c r="E38" s="49">
        <v>80000</v>
      </c>
      <c r="F38" s="49">
        <v>40000</v>
      </c>
      <c r="G38" s="49">
        <v>20000</v>
      </c>
      <c r="H38" s="49"/>
    </row>
    <row r="39" spans="1:8" ht="15" customHeight="1" x14ac:dyDescent="0.3">
      <c r="C39" t="s">
        <v>173</v>
      </c>
      <c r="D39" t="s">
        <v>177</v>
      </c>
      <c r="E39" s="49">
        <v>90000</v>
      </c>
      <c r="F39" s="49">
        <v>35000</v>
      </c>
      <c r="G39" s="49">
        <v>25000</v>
      </c>
      <c r="H39" s="49"/>
    </row>
    <row r="40" spans="1:8" ht="15" customHeight="1" x14ac:dyDescent="0.3">
      <c r="C40" s="5" t="s">
        <v>53</v>
      </c>
      <c r="D40" s="5" t="s">
        <v>54</v>
      </c>
      <c r="E40" s="49">
        <v>90000</v>
      </c>
      <c r="F40" s="49">
        <v>110000</v>
      </c>
      <c r="G40" s="49">
        <v>200000</v>
      </c>
      <c r="H40" s="49"/>
    </row>
    <row r="41" spans="1:8" ht="15" customHeight="1" x14ac:dyDescent="0.3">
      <c r="C41" t="s">
        <v>53</v>
      </c>
      <c r="D41" t="s">
        <v>55</v>
      </c>
      <c r="E41" s="49">
        <v>75000</v>
      </c>
      <c r="F41" s="49">
        <v>82000</v>
      </c>
      <c r="G41" s="49">
        <v>150000</v>
      </c>
      <c r="H41" s="49"/>
    </row>
    <row r="47" spans="1:8" ht="15" customHeight="1" x14ac:dyDescent="0.3">
      <c r="A47" s="16" t="s">
        <v>206</v>
      </c>
    </row>
    <row r="48" spans="1:8" ht="15" customHeight="1" x14ac:dyDescent="0.3">
      <c r="A48" s="16" t="s">
        <v>207</v>
      </c>
    </row>
    <row r="49" spans="1:5" ht="15" customHeight="1" x14ac:dyDescent="0.3">
      <c r="A49" s="16" t="s">
        <v>208</v>
      </c>
    </row>
    <row r="50" spans="1:5" ht="15" customHeight="1" x14ac:dyDescent="0.3">
      <c r="A50" s="16" t="s">
        <v>209</v>
      </c>
    </row>
    <row r="51" spans="1:5" ht="15" customHeight="1" x14ac:dyDescent="0.3">
      <c r="A51" s="16" t="s">
        <v>364</v>
      </c>
    </row>
    <row r="52" spans="1:5" ht="15" customHeight="1" x14ac:dyDescent="0.3">
      <c r="A52" s="16" t="s">
        <v>210</v>
      </c>
    </row>
    <row r="53" spans="1:5" ht="15" customHeight="1" x14ac:dyDescent="0.3">
      <c r="A53" s="16" t="s">
        <v>211</v>
      </c>
      <c r="C53" s="30" t="s">
        <v>171</v>
      </c>
      <c r="D53" s="30" t="s">
        <v>81</v>
      </c>
      <c r="E53" s="30" t="s">
        <v>219</v>
      </c>
    </row>
    <row r="54" spans="1:5" ht="15" customHeight="1" x14ac:dyDescent="0.3">
      <c r="A54" s="16" t="s">
        <v>212</v>
      </c>
      <c r="C54" t="s">
        <v>77</v>
      </c>
      <c r="D54" t="s">
        <v>176</v>
      </c>
      <c r="E54" s="49">
        <v>1000</v>
      </c>
    </row>
    <row r="55" spans="1:5" ht="15" customHeight="1" x14ac:dyDescent="0.3">
      <c r="A55" s="16" t="s">
        <v>213</v>
      </c>
      <c r="C55" t="s">
        <v>77</v>
      </c>
      <c r="D55" t="s">
        <v>39</v>
      </c>
      <c r="E55" s="49">
        <v>2000</v>
      </c>
    </row>
    <row r="56" spans="1:5" ht="15" customHeight="1" x14ac:dyDescent="0.3">
      <c r="A56" s="16" t="s">
        <v>214</v>
      </c>
      <c r="C56" t="s">
        <v>172</v>
      </c>
      <c r="D56" t="s">
        <v>45</v>
      </c>
      <c r="E56" s="49">
        <v>3000</v>
      </c>
    </row>
    <row r="57" spans="1:5" ht="15" customHeight="1" x14ac:dyDescent="0.3">
      <c r="A57" s="16" t="s">
        <v>156</v>
      </c>
      <c r="C57" t="s">
        <v>172</v>
      </c>
      <c r="D57" t="s">
        <v>175</v>
      </c>
      <c r="E57" s="49">
        <v>1000</v>
      </c>
    </row>
    <row r="58" spans="1:5" ht="15" customHeight="1" x14ac:dyDescent="0.3">
      <c r="C58" t="s">
        <v>173</v>
      </c>
      <c r="D58" t="s">
        <v>179</v>
      </c>
      <c r="E58" s="49">
        <v>2000</v>
      </c>
    </row>
    <row r="59" spans="1:5" ht="15" customHeight="1" x14ac:dyDescent="0.3">
      <c r="C59" t="s">
        <v>173</v>
      </c>
      <c r="D59" t="s">
        <v>177</v>
      </c>
      <c r="E59" s="49">
        <v>3000</v>
      </c>
    </row>
    <row r="60" spans="1:5" ht="15" customHeight="1" x14ac:dyDescent="0.3">
      <c r="C60" t="s">
        <v>53</v>
      </c>
      <c r="D60" t="s">
        <v>54</v>
      </c>
      <c r="E60" s="49">
        <v>4000</v>
      </c>
    </row>
    <row r="61" spans="1:5" ht="15" customHeight="1" x14ac:dyDescent="0.3">
      <c r="C61" t="s">
        <v>53</v>
      </c>
      <c r="D61" t="s">
        <v>55</v>
      </c>
      <c r="E61" s="49">
        <v>8000</v>
      </c>
    </row>
    <row r="72" spans="1:2" ht="15" customHeight="1" x14ac:dyDescent="0.3">
      <c r="A72" s="16" t="s">
        <v>33</v>
      </c>
    </row>
    <row r="73" spans="1:2" ht="15" customHeight="1" x14ac:dyDescent="0.3">
      <c r="A73" s="16" t="s">
        <v>215</v>
      </c>
    </row>
    <row r="74" spans="1:2" ht="15" customHeight="1" x14ac:dyDescent="0.3">
      <c r="A74" s="16" t="s">
        <v>340</v>
      </c>
    </row>
    <row r="75" spans="1:2" ht="15" customHeight="1" x14ac:dyDescent="0.3">
      <c r="A75" s="16" t="s">
        <v>216</v>
      </c>
    </row>
    <row r="76" spans="1:2" ht="15" customHeight="1" x14ac:dyDescent="0.3">
      <c r="A76" s="16" t="s">
        <v>38</v>
      </c>
      <c r="B76" t="s">
        <v>217</v>
      </c>
    </row>
  </sheetData>
  <hyperlinks>
    <hyperlink ref="A75" r:id="rId1" tooltip="Selecione para aceder à Web e saber como utilizar colunas calculadas numa tabela do Excel" xr:uid="{00000000-0004-0000-0600-000000000000}"/>
    <hyperlink ref="A74" r:id="rId2" tooltip="Selecione para aceder à Web e saber como calcular o total dos dados numa tabela do Excel" display="Obter o total de dados numa tabela do Excel" xr:uid="{00000000-0004-0000-0600-000001000000}"/>
    <hyperlink ref="A73" r:id="rId3" tooltip="Selecione para aceder à Web e obter uma descrição geral das tabelas do Excel" xr:uid="{00000000-0004-0000-0600-000002000000}"/>
  </hyperlinks>
  <pageMargins left="0.7" right="0.7" top="0.75" bottom="0.75" header="0.3" footer="0.3"/>
  <pageSetup paperSize="9"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6"/>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4" customWidth="1"/>
    <col min="4" max="4" width="15.33203125" customWidth="1"/>
    <col min="5" max="5" width="13.88671875" customWidth="1"/>
    <col min="6" max="6" width="15.109375" customWidth="1"/>
  </cols>
  <sheetData>
    <row r="1" spans="1:6" ht="60" customHeight="1" x14ac:dyDescent="0.3">
      <c r="A1" s="16" t="s">
        <v>221</v>
      </c>
    </row>
    <row r="2" spans="1:6" ht="15" customHeight="1" x14ac:dyDescent="0.3">
      <c r="A2" s="16" t="s">
        <v>222</v>
      </c>
    </row>
    <row r="3" spans="1:6" ht="15" customHeight="1" x14ac:dyDescent="0.3">
      <c r="A3" s="16" t="s">
        <v>223</v>
      </c>
      <c r="C3" s="30" t="s">
        <v>188</v>
      </c>
      <c r="D3" s="30" t="s">
        <v>171</v>
      </c>
    </row>
    <row r="4" spans="1:6" ht="15" customHeight="1" x14ac:dyDescent="0.3">
      <c r="A4" s="16" t="s">
        <v>224</v>
      </c>
      <c r="C4" s="6" t="s">
        <v>40</v>
      </c>
      <c r="D4" s="7"/>
    </row>
    <row r="5" spans="1:6" s="3" customFormat="1" ht="15" customHeight="1" x14ac:dyDescent="0.3">
      <c r="A5" s="16" t="s">
        <v>225</v>
      </c>
      <c r="B5"/>
      <c r="C5" s="6" t="s">
        <v>54</v>
      </c>
      <c r="D5" s="7"/>
      <c r="F5"/>
    </row>
    <row r="6" spans="1:6" s="3" customFormat="1" ht="15" customHeight="1" x14ac:dyDescent="0.3">
      <c r="A6" s="16" t="s">
        <v>365</v>
      </c>
      <c r="B6"/>
      <c r="C6" s="6" t="s">
        <v>42</v>
      </c>
      <c r="D6" s="7"/>
      <c r="F6"/>
    </row>
    <row r="7" spans="1:6" s="3" customFormat="1" ht="15" customHeight="1" x14ac:dyDescent="0.3">
      <c r="A7" s="16" t="s">
        <v>226</v>
      </c>
      <c r="B7"/>
      <c r="C7" s="6" t="s">
        <v>43</v>
      </c>
      <c r="D7" s="7"/>
      <c r="F7"/>
    </row>
    <row r="8" spans="1:6" s="3" customFormat="1" ht="15" customHeight="1" x14ac:dyDescent="0.3">
      <c r="A8" s="16" t="s">
        <v>227</v>
      </c>
      <c r="B8"/>
      <c r="C8" s="6" t="s">
        <v>239</v>
      </c>
      <c r="D8" s="7"/>
      <c r="F8"/>
    </row>
    <row r="9" spans="1:6" s="3" customFormat="1" ht="15" customHeight="1" x14ac:dyDescent="0.3">
      <c r="A9" s="45" t="s">
        <v>366</v>
      </c>
      <c r="B9"/>
      <c r="C9" s="6" t="s">
        <v>240</v>
      </c>
      <c r="D9" s="7"/>
      <c r="F9"/>
    </row>
    <row r="10" spans="1:6" s="3" customFormat="1" ht="15" customHeight="1" x14ac:dyDescent="0.3">
      <c r="A10" s="16" t="s">
        <v>12</v>
      </c>
      <c r="B10"/>
      <c r="C10" s="6" t="s">
        <v>241</v>
      </c>
      <c r="D10" s="7"/>
      <c r="F10"/>
    </row>
    <row r="11" spans="1:6" s="3" customFormat="1" ht="15" customHeight="1" x14ac:dyDescent="0.3">
      <c r="A11" s="16"/>
      <c r="B11"/>
      <c r="C11" s="6" t="s">
        <v>45</v>
      </c>
      <c r="D11" s="7"/>
      <c r="F11"/>
    </row>
    <row r="12" spans="1:6" s="3" customFormat="1" ht="15" customHeight="1" x14ac:dyDescent="0.3">
      <c r="A12" s="16"/>
      <c r="B12"/>
      <c r="C12" s="6" t="s">
        <v>55</v>
      </c>
      <c r="D12" s="7"/>
      <c r="F12"/>
    </row>
    <row r="13" spans="1:6" s="3" customFormat="1" ht="15" customHeight="1" x14ac:dyDescent="0.3">
      <c r="A13" s="16"/>
      <c r="B13"/>
      <c r="C13" s="6" t="s">
        <v>47</v>
      </c>
      <c r="D13" s="7"/>
      <c r="F13"/>
    </row>
    <row r="14" spans="1:6" s="3" customFormat="1" ht="15" customHeight="1" x14ac:dyDescent="0.3">
      <c r="A14" s="16"/>
      <c r="B14"/>
      <c r="C14" s="6" t="s">
        <v>48</v>
      </c>
      <c r="D14" s="7"/>
      <c r="F14"/>
    </row>
    <row r="15" spans="1:6" s="3" customFormat="1" ht="15" customHeight="1" x14ac:dyDescent="0.3">
      <c r="A15" s="16"/>
      <c r="B15"/>
      <c r="C15" s="6" t="s">
        <v>49</v>
      </c>
      <c r="D15" s="7"/>
      <c r="F15"/>
    </row>
    <row r="16" spans="1:6" s="3" customFormat="1" ht="15" customHeight="1" x14ac:dyDescent="0.3">
      <c r="A16" s="16"/>
      <c r="B16"/>
    </row>
    <row r="17" spans="1:6" s="3" customFormat="1" ht="15" customHeight="1" x14ac:dyDescent="0.3">
      <c r="A17" s="16"/>
      <c r="B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228</v>
      </c>
    </row>
    <row r="28" spans="1:6" ht="15" customHeight="1" x14ac:dyDescent="0.3">
      <c r="A28" s="16" t="s">
        <v>229</v>
      </c>
    </row>
    <row r="29" spans="1:6" ht="15" customHeight="1" x14ac:dyDescent="0.3">
      <c r="A29" s="16" t="s">
        <v>230</v>
      </c>
    </row>
    <row r="30" spans="1:6" ht="15" customHeight="1" x14ac:dyDescent="0.3">
      <c r="A30" s="16" t="s">
        <v>231</v>
      </c>
    </row>
    <row r="31" spans="1:6" ht="15" customHeight="1" x14ac:dyDescent="0.3">
      <c r="A31" s="16" t="s">
        <v>367</v>
      </c>
      <c r="C31" s="30" t="s">
        <v>188</v>
      </c>
      <c r="D31" s="30" t="s">
        <v>171</v>
      </c>
      <c r="F31" s="41" t="s">
        <v>171</v>
      </c>
    </row>
    <row r="32" spans="1:6" ht="15" customHeight="1" x14ac:dyDescent="0.3">
      <c r="A32" s="16" t="s">
        <v>232</v>
      </c>
      <c r="C32" s="6" t="s">
        <v>40</v>
      </c>
      <c r="D32" s="6"/>
      <c r="F32" s="8" t="s">
        <v>77</v>
      </c>
    </row>
    <row r="33" spans="1:6" ht="15" customHeight="1" x14ac:dyDescent="0.3">
      <c r="A33" s="16" t="s">
        <v>368</v>
      </c>
      <c r="C33" s="6" t="s">
        <v>54</v>
      </c>
      <c r="D33" s="6"/>
      <c r="F33" s="6" t="s">
        <v>53</v>
      </c>
    </row>
    <row r="34" spans="1:6" ht="15" customHeight="1" x14ac:dyDescent="0.3">
      <c r="A34" s="16" t="s">
        <v>233</v>
      </c>
      <c r="C34" s="6" t="s">
        <v>42</v>
      </c>
      <c r="D34" s="6"/>
      <c r="F34" s="8" t="s">
        <v>172</v>
      </c>
    </row>
    <row r="35" spans="1:6" ht="15" customHeight="1" x14ac:dyDescent="0.3">
      <c r="A35" s="16" t="s">
        <v>234</v>
      </c>
      <c r="C35" s="6" t="s">
        <v>43</v>
      </c>
      <c r="D35" s="6"/>
    </row>
    <row r="36" spans="1:6" ht="15" customHeight="1" x14ac:dyDescent="0.3">
      <c r="A36" s="16" t="s">
        <v>235</v>
      </c>
      <c r="C36" s="6" t="s">
        <v>239</v>
      </c>
      <c r="D36" s="6"/>
    </row>
    <row r="37" spans="1:6" ht="15" customHeight="1" x14ac:dyDescent="0.3">
      <c r="A37" s="16" t="s">
        <v>236</v>
      </c>
      <c r="C37" s="6" t="s">
        <v>240</v>
      </c>
      <c r="D37" s="6"/>
    </row>
    <row r="38" spans="1:6" ht="15" customHeight="1" x14ac:dyDescent="0.3">
      <c r="A38" s="16" t="s">
        <v>341</v>
      </c>
      <c r="C38" s="6" t="s">
        <v>241</v>
      </c>
      <c r="D38" s="6"/>
    </row>
    <row r="39" spans="1:6" ht="15" customHeight="1" x14ac:dyDescent="0.3">
      <c r="C39" s="6" t="s">
        <v>45</v>
      </c>
      <c r="D39" s="6"/>
    </row>
    <row r="40" spans="1:6" ht="15" customHeight="1" x14ac:dyDescent="0.3">
      <c r="C40" s="6" t="s">
        <v>55</v>
      </c>
      <c r="D40" s="6"/>
    </row>
    <row r="41" spans="1:6" ht="15" customHeight="1" x14ac:dyDescent="0.3">
      <c r="C41" s="6" t="s">
        <v>47</v>
      </c>
      <c r="D41" s="6"/>
    </row>
    <row r="42" spans="1:6" ht="15" customHeight="1" x14ac:dyDescent="0.3">
      <c r="C42" s="6" t="s">
        <v>48</v>
      </c>
      <c r="D42" s="6"/>
    </row>
    <row r="43" spans="1:6" ht="15" customHeight="1" x14ac:dyDescent="0.3">
      <c r="C43" s="6" t="s">
        <v>49</v>
      </c>
      <c r="D43" s="6"/>
    </row>
    <row r="63" spans="1:1" ht="15" customHeight="1" x14ac:dyDescent="0.3">
      <c r="A63" s="16" t="s">
        <v>33</v>
      </c>
    </row>
    <row r="64" spans="1:1" ht="15" customHeight="1" x14ac:dyDescent="0.3">
      <c r="A64" s="16" t="s">
        <v>237</v>
      </c>
    </row>
    <row r="65" spans="1:1" ht="15" customHeight="1" x14ac:dyDescent="0.3">
      <c r="A65" s="16" t="s">
        <v>238</v>
      </c>
    </row>
    <row r="66" spans="1:1" ht="15" customHeight="1" x14ac:dyDescent="0.3">
      <c r="A66" s="16" t="s">
        <v>38</v>
      </c>
    </row>
  </sheetData>
  <hyperlinks>
    <hyperlink ref="A65" r:id="rId1" tooltip="Selecione para aceder à Web e saber como criar uma lista pendente" xr:uid="{00000000-0004-0000-0700-000000000000}"/>
    <hyperlink ref="A64" r:id="rId2" tooltip="Selecione para aceder à Web e saber como aplicar a validação de dados a células" xr:uid="{00000000-0004-0000-0700-000001000000}"/>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2"/>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7.88671875" customWidth="1"/>
    <col min="4" max="4" width="14.5546875" customWidth="1"/>
    <col min="5" max="5" width="10.88671875" customWidth="1"/>
    <col min="6" max="7" width="11.88671875" customWidth="1"/>
  </cols>
  <sheetData>
    <row r="1" spans="1:7" ht="60" customHeight="1" x14ac:dyDescent="0.3">
      <c r="A1" s="16" t="s">
        <v>242</v>
      </c>
    </row>
    <row r="2" spans="1:7" ht="15" customHeight="1" x14ac:dyDescent="0.3">
      <c r="A2" s="16" t="s">
        <v>243</v>
      </c>
    </row>
    <row r="3" spans="1:7" ht="15" customHeight="1" x14ac:dyDescent="0.3">
      <c r="A3" s="16" t="s">
        <v>244</v>
      </c>
    </row>
    <row r="4" spans="1:7" ht="15" customHeight="1" x14ac:dyDescent="0.3">
      <c r="A4" s="16" t="s">
        <v>245</v>
      </c>
    </row>
    <row r="5" spans="1:7" s="3" customFormat="1" ht="15" customHeight="1" x14ac:dyDescent="0.3">
      <c r="A5" s="16" t="s">
        <v>246</v>
      </c>
      <c r="B5"/>
      <c r="C5" t="s">
        <v>171</v>
      </c>
      <c r="D5" t="s">
        <v>81</v>
      </c>
      <c r="E5" t="s">
        <v>187</v>
      </c>
      <c r="F5" t="s">
        <v>189</v>
      </c>
      <c r="G5" t="s">
        <v>191</v>
      </c>
    </row>
    <row r="6" spans="1:7" s="3" customFormat="1" ht="15" customHeight="1" x14ac:dyDescent="0.3">
      <c r="A6" s="16" t="s">
        <v>247</v>
      </c>
      <c r="B6"/>
      <c r="C6" t="s">
        <v>77</v>
      </c>
      <c r="D6" t="s">
        <v>176</v>
      </c>
      <c r="E6" s="49">
        <v>30000</v>
      </c>
      <c r="F6" s="49">
        <v>80000</v>
      </c>
      <c r="G6" s="49">
        <v>30000</v>
      </c>
    </row>
    <row r="7" spans="1:7" s="3" customFormat="1" ht="15" customHeight="1" x14ac:dyDescent="0.3">
      <c r="A7" s="16" t="s">
        <v>248</v>
      </c>
      <c r="B7"/>
      <c r="C7" t="s">
        <v>77</v>
      </c>
      <c r="D7" t="s">
        <v>39</v>
      </c>
      <c r="E7" s="49">
        <v>10000</v>
      </c>
      <c r="F7" s="49">
        <v>30000</v>
      </c>
      <c r="G7" s="49">
        <v>40000</v>
      </c>
    </row>
    <row r="8" spans="1:7" s="3" customFormat="1" ht="15" customHeight="1" x14ac:dyDescent="0.3">
      <c r="A8" s="16" t="s">
        <v>249</v>
      </c>
      <c r="B8"/>
      <c r="C8" t="s">
        <v>172</v>
      </c>
      <c r="D8" t="s">
        <v>45</v>
      </c>
      <c r="E8" s="49">
        <v>30000</v>
      </c>
      <c r="F8" s="49">
        <v>15000</v>
      </c>
      <c r="G8" s="49">
        <v>20000</v>
      </c>
    </row>
    <row r="9" spans="1:7" s="3" customFormat="1" ht="15" customHeight="1" x14ac:dyDescent="0.3">
      <c r="A9" s="16" t="s">
        <v>250</v>
      </c>
      <c r="B9"/>
      <c r="C9" t="s">
        <v>172</v>
      </c>
      <c r="D9" t="s">
        <v>175</v>
      </c>
      <c r="E9" s="49">
        <v>25000</v>
      </c>
      <c r="F9" s="49">
        <v>80000</v>
      </c>
      <c r="G9" s="49">
        <v>120000</v>
      </c>
    </row>
    <row r="10" spans="1:7" s="3" customFormat="1" ht="15" customHeight="1" x14ac:dyDescent="0.3">
      <c r="A10" s="16" t="s">
        <v>12</v>
      </c>
      <c r="B10"/>
      <c r="C10" t="s">
        <v>173</v>
      </c>
      <c r="D10" t="s">
        <v>218</v>
      </c>
      <c r="E10" s="49">
        <v>80000</v>
      </c>
      <c r="F10" s="49">
        <v>40000</v>
      </c>
      <c r="G10" s="49">
        <v>20000</v>
      </c>
    </row>
    <row r="11" spans="1:7" s="3" customFormat="1" ht="15" customHeight="1" x14ac:dyDescent="0.3">
      <c r="A11" s="16"/>
      <c r="B11"/>
      <c r="C11" t="s">
        <v>173</v>
      </c>
      <c r="D11" t="s">
        <v>177</v>
      </c>
      <c r="E11" s="49">
        <v>90000</v>
      </c>
      <c r="F11" s="49">
        <v>35000</v>
      </c>
      <c r="G11" s="49">
        <v>25000</v>
      </c>
    </row>
    <row r="12" spans="1:7" s="3" customFormat="1" ht="15" customHeight="1" x14ac:dyDescent="0.3">
      <c r="A12" s="16"/>
      <c r="B12"/>
      <c r="C12" t="s">
        <v>53</v>
      </c>
      <c r="D12" t="s">
        <v>54</v>
      </c>
      <c r="E12" s="49">
        <v>90000</v>
      </c>
      <c r="F12" s="49">
        <v>110000</v>
      </c>
      <c r="G12" s="49">
        <v>200000</v>
      </c>
    </row>
    <row r="13" spans="1:7" s="3" customFormat="1" ht="15" customHeight="1" x14ac:dyDescent="0.3">
      <c r="A13" s="16"/>
      <c r="B13"/>
      <c r="C13" t="s">
        <v>53</v>
      </c>
      <c r="D13" t="s">
        <v>55</v>
      </c>
      <c r="E13" s="49">
        <v>75000</v>
      </c>
      <c r="F13" s="49">
        <v>82000</v>
      </c>
      <c r="G13" s="49">
        <v>150000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251</v>
      </c>
    </row>
    <row r="28" spans="1:7" ht="15" customHeight="1" x14ac:dyDescent="0.3">
      <c r="A28" s="16" t="s">
        <v>252</v>
      </c>
    </row>
    <row r="29" spans="1:7" ht="15" customHeight="1" x14ac:dyDescent="0.3">
      <c r="A29" s="16" t="s">
        <v>253</v>
      </c>
    </row>
    <row r="30" spans="1:7" ht="15" customHeight="1" x14ac:dyDescent="0.3">
      <c r="A30" s="16" t="s">
        <v>254</v>
      </c>
    </row>
    <row r="31" spans="1:7" ht="15" customHeight="1" x14ac:dyDescent="0.3">
      <c r="A31" s="16" t="s">
        <v>255</v>
      </c>
    </row>
    <row r="32" spans="1:7" ht="15" customHeight="1" x14ac:dyDescent="0.3">
      <c r="A32" s="16" t="s">
        <v>256</v>
      </c>
    </row>
    <row r="33" spans="1:7" ht="15" customHeight="1" x14ac:dyDescent="0.3">
      <c r="A33" s="16" t="s">
        <v>257</v>
      </c>
    </row>
    <row r="34" spans="1:7" ht="15" customHeight="1" x14ac:dyDescent="0.3">
      <c r="A34" s="16" t="s">
        <v>205</v>
      </c>
      <c r="C34" t="s">
        <v>171</v>
      </c>
      <c r="D34" t="s">
        <v>81</v>
      </c>
      <c r="E34" t="s">
        <v>187</v>
      </c>
      <c r="F34" t="s">
        <v>189</v>
      </c>
      <c r="G34" t="s">
        <v>191</v>
      </c>
    </row>
    <row r="35" spans="1:7" ht="15" customHeight="1" x14ac:dyDescent="0.3">
      <c r="C35" t="s">
        <v>172</v>
      </c>
      <c r="D35" t="s">
        <v>178</v>
      </c>
      <c r="E35" s="49">
        <v>30000</v>
      </c>
      <c r="F35" s="49">
        <v>15000</v>
      </c>
      <c r="G35" s="49">
        <v>20000</v>
      </c>
    </row>
    <row r="36" spans="1:7" ht="15" customHeight="1" x14ac:dyDescent="0.3">
      <c r="C36" t="s">
        <v>172</v>
      </c>
      <c r="D36" t="s">
        <v>175</v>
      </c>
      <c r="E36" s="49">
        <v>25000</v>
      </c>
      <c r="F36" s="49">
        <v>80000</v>
      </c>
      <c r="G36" s="49">
        <v>120000</v>
      </c>
    </row>
    <row r="37" spans="1:7" ht="15" customHeight="1" x14ac:dyDescent="0.3">
      <c r="C37" t="s">
        <v>173</v>
      </c>
      <c r="D37" t="s">
        <v>179</v>
      </c>
      <c r="E37" s="49">
        <v>80000</v>
      </c>
      <c r="F37" s="49">
        <v>40000</v>
      </c>
      <c r="G37" s="49">
        <v>20000</v>
      </c>
    </row>
    <row r="38" spans="1:7" ht="15" customHeight="1" x14ac:dyDescent="0.3">
      <c r="C38" t="s">
        <v>173</v>
      </c>
      <c r="D38" t="s">
        <v>177</v>
      </c>
      <c r="E38" s="49">
        <v>90000</v>
      </c>
      <c r="F38" s="49">
        <v>35000</v>
      </c>
      <c r="G38" s="49">
        <v>25000</v>
      </c>
    </row>
    <row r="39" spans="1:7" ht="15" customHeight="1" x14ac:dyDescent="0.3">
      <c r="C39" t="s">
        <v>53</v>
      </c>
      <c r="D39" t="s">
        <v>54</v>
      </c>
      <c r="E39" s="49">
        <v>90000</v>
      </c>
      <c r="F39" s="49">
        <v>110000</v>
      </c>
      <c r="G39" s="49">
        <v>200000</v>
      </c>
    </row>
    <row r="40" spans="1:7" ht="15" customHeight="1" x14ac:dyDescent="0.3">
      <c r="C40" t="s">
        <v>53</v>
      </c>
      <c r="D40" t="s">
        <v>55</v>
      </c>
      <c r="E40" s="49">
        <v>75000</v>
      </c>
      <c r="F40" s="49">
        <v>82000</v>
      </c>
      <c r="G40" s="49">
        <v>150000</v>
      </c>
    </row>
    <row r="41" spans="1:7" ht="15" customHeight="1" x14ac:dyDescent="0.3">
      <c r="C41" t="s">
        <v>77</v>
      </c>
      <c r="D41" t="s">
        <v>176</v>
      </c>
      <c r="E41" s="49">
        <v>30000</v>
      </c>
      <c r="F41" s="49">
        <v>80000</v>
      </c>
      <c r="G41" s="49">
        <v>30000</v>
      </c>
    </row>
    <row r="42" spans="1:7" ht="15" customHeight="1" x14ac:dyDescent="0.3">
      <c r="C42" t="s">
        <v>77</v>
      </c>
      <c r="D42" t="s">
        <v>39</v>
      </c>
      <c r="E42" s="49">
        <v>10000</v>
      </c>
      <c r="F42" s="49">
        <v>30000</v>
      </c>
      <c r="G42" s="49">
        <v>40000</v>
      </c>
    </row>
    <row r="47" spans="1:7" ht="15" customHeight="1" x14ac:dyDescent="0.3">
      <c r="A47" s="16" t="s">
        <v>258</v>
      </c>
    </row>
    <row r="48" spans="1:7" ht="15" customHeight="1" x14ac:dyDescent="0.3">
      <c r="A48" s="16" t="s">
        <v>259</v>
      </c>
    </row>
    <row r="49" spans="1:7" ht="15" customHeight="1" x14ac:dyDescent="0.3">
      <c r="A49" s="16" t="s">
        <v>260</v>
      </c>
    </row>
    <row r="50" spans="1:7" ht="15" customHeight="1" x14ac:dyDescent="0.3">
      <c r="A50" s="16" t="s">
        <v>261</v>
      </c>
    </row>
    <row r="51" spans="1:7" ht="15" customHeight="1" x14ac:dyDescent="0.3">
      <c r="A51" s="16" t="s">
        <v>262</v>
      </c>
    </row>
    <row r="52" spans="1:7" ht="15" customHeight="1" x14ac:dyDescent="0.3">
      <c r="A52" s="16" t="s">
        <v>263</v>
      </c>
    </row>
    <row r="53" spans="1:7" ht="15" customHeight="1" x14ac:dyDescent="0.3">
      <c r="A53" s="16" t="s">
        <v>369</v>
      </c>
    </row>
    <row r="54" spans="1:7" ht="15" customHeight="1" x14ac:dyDescent="0.3">
      <c r="A54" s="16" t="s">
        <v>316</v>
      </c>
      <c r="C54" t="s">
        <v>171</v>
      </c>
      <c r="D54" t="s">
        <v>81</v>
      </c>
      <c r="E54" t="s">
        <v>187</v>
      </c>
      <c r="F54" t="s">
        <v>189</v>
      </c>
      <c r="G54" t="s">
        <v>191</v>
      </c>
    </row>
    <row r="55" spans="1:7" ht="15" customHeight="1" x14ac:dyDescent="0.3">
      <c r="C55" t="s">
        <v>172</v>
      </c>
      <c r="D55" t="s">
        <v>178</v>
      </c>
      <c r="E55" s="49">
        <v>30000</v>
      </c>
      <c r="F55" s="49">
        <v>15000</v>
      </c>
      <c r="G55" s="49">
        <v>20000</v>
      </c>
    </row>
    <row r="56" spans="1:7" ht="15" customHeight="1" x14ac:dyDescent="0.3">
      <c r="C56" t="s">
        <v>172</v>
      </c>
      <c r="D56" t="s">
        <v>175</v>
      </c>
      <c r="E56" s="49">
        <v>25000</v>
      </c>
      <c r="F56" s="49">
        <v>80000</v>
      </c>
      <c r="G56" s="49">
        <v>120000</v>
      </c>
    </row>
    <row r="57" spans="1:7" ht="15" customHeight="1" x14ac:dyDescent="0.3">
      <c r="C57" t="s">
        <v>173</v>
      </c>
      <c r="D57" t="s">
        <v>179</v>
      </c>
      <c r="E57" s="49">
        <v>80000</v>
      </c>
      <c r="F57" s="49">
        <v>40000</v>
      </c>
      <c r="G57" s="49">
        <v>20000</v>
      </c>
    </row>
    <row r="58" spans="1:7" ht="15" customHeight="1" x14ac:dyDescent="0.3">
      <c r="C58" t="s">
        <v>173</v>
      </c>
      <c r="D58" t="s">
        <v>177</v>
      </c>
      <c r="E58" s="49">
        <v>90000</v>
      </c>
      <c r="F58" s="49">
        <v>35000</v>
      </c>
      <c r="G58" s="49">
        <v>25000</v>
      </c>
    </row>
    <row r="59" spans="1:7" ht="15" customHeight="1" x14ac:dyDescent="0.3">
      <c r="C59" t="s">
        <v>53</v>
      </c>
      <c r="D59" t="s">
        <v>54</v>
      </c>
      <c r="E59" s="49">
        <v>90000</v>
      </c>
      <c r="F59" s="49">
        <v>110000</v>
      </c>
      <c r="G59" s="49">
        <v>200000</v>
      </c>
    </row>
    <row r="60" spans="1:7" ht="15" customHeight="1" x14ac:dyDescent="0.3">
      <c r="C60" t="s">
        <v>53</v>
      </c>
      <c r="D60" t="s">
        <v>55</v>
      </c>
      <c r="E60" s="49">
        <v>75000</v>
      </c>
      <c r="F60" s="49">
        <v>82000</v>
      </c>
      <c r="G60" s="49">
        <v>150000</v>
      </c>
    </row>
    <row r="61" spans="1:7" ht="15" customHeight="1" x14ac:dyDescent="0.3">
      <c r="C61" t="s">
        <v>77</v>
      </c>
      <c r="D61" t="s">
        <v>176</v>
      </c>
      <c r="E61" s="49">
        <v>30000</v>
      </c>
      <c r="F61" s="49">
        <v>80000</v>
      </c>
      <c r="G61" s="49">
        <v>30000</v>
      </c>
    </row>
    <row r="62" spans="1:7" ht="15" customHeight="1" x14ac:dyDescent="0.3">
      <c r="C62" t="s">
        <v>77</v>
      </c>
      <c r="D62" t="s">
        <v>39</v>
      </c>
      <c r="E62" s="49">
        <v>10000</v>
      </c>
      <c r="F62" s="49">
        <v>30000</v>
      </c>
      <c r="G62" s="49">
        <v>40000</v>
      </c>
    </row>
    <row r="69" spans="1:1" ht="15" customHeight="1" x14ac:dyDescent="0.3">
      <c r="A69" s="16" t="s">
        <v>33</v>
      </c>
    </row>
    <row r="70" spans="1:1" ht="15" customHeight="1" x14ac:dyDescent="0.3">
      <c r="A70" s="16" t="s">
        <v>265</v>
      </c>
    </row>
    <row r="71" spans="1:1" ht="15" customHeight="1" x14ac:dyDescent="0.3">
      <c r="A71" s="16" t="s">
        <v>342</v>
      </c>
    </row>
    <row r="72" spans="1:1" ht="15" customHeight="1" x14ac:dyDescent="0.3">
      <c r="A72" s="16" t="s">
        <v>38</v>
      </c>
    </row>
  </sheetData>
  <hyperlinks>
    <hyperlink ref="A70" r:id="rId1" tooltip="Selecione para aceder à Web e saber como analisar os seus dados instantaneamente" xr:uid="{00000000-0004-0000-0800-000000000000}"/>
    <hyperlink ref="A71" r:id="rId2" tooltip="Selecione para aceder à Web e saber como analisar tendências em dados com gráficos sparkline" display="Analisar tendências em dados com gráficos sparkline" xr:uid="{00000000-0004-0000-0800-000001000000}"/>
  </hyperlinks>
  <pageMargins left="0.7" right="0.7" top="0.75" bottom="0.75" header="0.3" footer="0.3"/>
  <pageSetup paperSize="9"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3.88671875" customWidth="1"/>
    <col min="4" max="4" width="27" customWidth="1"/>
    <col min="5" max="5" width="27.109375" customWidth="1"/>
    <col min="6" max="6" width="24.88671875" customWidth="1"/>
  </cols>
  <sheetData>
    <row r="1" spans="1:6" ht="60" customHeight="1" x14ac:dyDescent="0.3">
      <c r="A1" s="16" t="s">
        <v>266</v>
      </c>
    </row>
    <row r="2" spans="1:6" ht="15" customHeight="1" x14ac:dyDescent="0.3">
      <c r="A2" s="16" t="s">
        <v>267</v>
      </c>
    </row>
    <row r="3" spans="1:6" ht="15" customHeight="1" x14ac:dyDescent="0.3">
      <c r="A3" s="16" t="s">
        <v>268</v>
      </c>
    </row>
    <row r="4" spans="1:6" ht="15" customHeight="1" x14ac:dyDescent="0.3">
      <c r="A4" s="16" t="s">
        <v>269</v>
      </c>
    </row>
    <row r="5" spans="1:6" s="3" customFormat="1" ht="15" customHeight="1" x14ac:dyDescent="0.3">
      <c r="A5" s="16" t="s">
        <v>270</v>
      </c>
      <c r="B5"/>
      <c r="C5" t="s">
        <v>287</v>
      </c>
      <c r="D5" t="s">
        <v>288</v>
      </c>
      <c r="E5"/>
      <c r="F5"/>
    </row>
    <row r="6" spans="1:6" s="3" customFormat="1" ht="15" customHeight="1" x14ac:dyDescent="0.3">
      <c r="A6" s="16" t="s">
        <v>271</v>
      </c>
      <c r="B6"/>
      <c r="C6">
        <f ca="1">YEAR(TODAY())-5</f>
        <v>2021</v>
      </c>
      <c r="D6">
        <v>500</v>
      </c>
      <c r="E6"/>
      <c r="F6"/>
    </row>
    <row r="7" spans="1:6" s="3" customFormat="1" ht="15" customHeight="1" x14ac:dyDescent="0.3">
      <c r="A7" s="16" t="s">
        <v>370</v>
      </c>
      <c r="B7"/>
      <c r="C7">
        <f ca="1">YEAR(TODAY())-4</f>
        <v>2022</v>
      </c>
      <c r="D7">
        <v>800</v>
      </c>
      <c r="E7"/>
      <c r="F7"/>
    </row>
    <row r="8" spans="1:6" s="3" customFormat="1" ht="15" customHeight="1" x14ac:dyDescent="0.3">
      <c r="A8" s="16" t="s">
        <v>272</v>
      </c>
      <c r="B8"/>
      <c r="C8">
        <f ca="1">YEAR(TODAY())-3</f>
        <v>2023</v>
      </c>
      <c r="D8">
        <v>1000</v>
      </c>
      <c r="E8"/>
      <c r="F8"/>
    </row>
    <row r="9" spans="1:6" s="3" customFormat="1" ht="15" customHeight="1" x14ac:dyDescent="0.3">
      <c r="A9" s="45" t="s">
        <v>371</v>
      </c>
      <c r="B9"/>
      <c r="C9">
        <f ca="1">YEAR(TODAY())-2</f>
        <v>2024</v>
      </c>
      <c r="D9">
        <v>900</v>
      </c>
      <c r="E9"/>
      <c r="F9"/>
    </row>
    <row r="10" spans="1:6" s="3" customFormat="1" ht="15" customHeight="1" x14ac:dyDescent="0.3">
      <c r="A10" s="16" t="s">
        <v>12</v>
      </c>
      <c r="B10"/>
      <c r="C10">
        <f ca="1">YEAR(TODAY())-1</f>
        <v>2025</v>
      </c>
      <c r="D10">
        <v>1000</v>
      </c>
      <c r="E10"/>
      <c r="F10"/>
    </row>
    <row r="11" spans="1:6" s="3" customFormat="1" ht="15" customHeight="1" x14ac:dyDescent="0.3">
      <c r="A11" s="16"/>
      <c r="B11"/>
      <c r="C11">
        <f ca="1">YEAR(TODAY())</f>
        <v>2026</v>
      </c>
      <c r="D11">
        <v>1200</v>
      </c>
      <c r="E11"/>
      <c r="F11"/>
    </row>
    <row r="12" spans="1:6" s="3" customFormat="1" ht="15" customHeight="1" x14ac:dyDescent="0.3">
      <c r="A12" s="16"/>
      <c r="B12"/>
      <c r="C12"/>
      <c r="D12"/>
      <c r="E12"/>
      <c r="F12"/>
    </row>
    <row r="13" spans="1:6" s="3" customFormat="1" ht="15" customHeight="1" x14ac:dyDescent="0.3">
      <c r="A13" s="16"/>
      <c r="B13"/>
      <c r="C13"/>
      <c r="D13"/>
      <c r="E13"/>
      <c r="F13"/>
    </row>
    <row r="14" spans="1:6" s="3" customFormat="1" ht="15" customHeight="1" x14ac:dyDescent="0.3">
      <c r="A14" s="16"/>
      <c r="B14"/>
      <c r="C14"/>
      <c r="D14"/>
      <c r="E14"/>
      <c r="F14"/>
    </row>
    <row r="15" spans="1:6" s="3" customFormat="1" ht="15" customHeight="1" x14ac:dyDescent="0.3">
      <c r="A15" s="16"/>
      <c r="B15"/>
      <c r="C15"/>
      <c r="D15"/>
      <c r="E15"/>
      <c r="F15"/>
    </row>
    <row r="16" spans="1:6" s="3" customFormat="1" ht="15" customHeight="1" x14ac:dyDescent="0.3">
      <c r="A16" s="16"/>
      <c r="B16"/>
      <c r="C16"/>
      <c r="D16"/>
      <c r="E16"/>
      <c r="F16"/>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273</v>
      </c>
    </row>
    <row r="28" spans="1:6" ht="15" customHeight="1" x14ac:dyDescent="0.3">
      <c r="A28" s="16" t="s">
        <v>274</v>
      </c>
    </row>
    <row r="29" spans="1:6" ht="15" customHeight="1" x14ac:dyDescent="0.3">
      <c r="A29" s="16" t="s">
        <v>275</v>
      </c>
    </row>
    <row r="30" spans="1:6" ht="15" customHeight="1" x14ac:dyDescent="0.3">
      <c r="A30" s="16" t="s">
        <v>276</v>
      </c>
    </row>
    <row r="31" spans="1:6" ht="15" customHeight="1" x14ac:dyDescent="0.3">
      <c r="A31" s="16" t="s">
        <v>277</v>
      </c>
    </row>
    <row r="32" spans="1:6" ht="15" customHeight="1" x14ac:dyDescent="0.3">
      <c r="A32" s="16" t="s">
        <v>278</v>
      </c>
    </row>
    <row r="33" spans="1:1" ht="15" customHeight="1" x14ac:dyDescent="0.3">
      <c r="A33" s="16" t="s">
        <v>279</v>
      </c>
    </row>
    <row r="34" spans="1:1" ht="15" customHeight="1" x14ac:dyDescent="0.3">
      <c r="A34" s="16" t="s">
        <v>280</v>
      </c>
    </row>
    <row r="35" spans="1:1" ht="15" customHeight="1" x14ac:dyDescent="0.3">
      <c r="A35" s="16" t="s">
        <v>281</v>
      </c>
    </row>
    <row r="52" spans="1:1" ht="15" customHeight="1" x14ac:dyDescent="0.3">
      <c r="A52" s="16" t="s">
        <v>282</v>
      </c>
    </row>
    <row r="53" spans="1:1" ht="15" customHeight="1" x14ac:dyDescent="0.3">
      <c r="A53" s="16" t="s">
        <v>283</v>
      </c>
    </row>
    <row r="54" spans="1:1" ht="15" customHeight="1" x14ac:dyDescent="0.3">
      <c r="A54" s="16" t="s">
        <v>284</v>
      </c>
    </row>
    <row r="55" spans="1:1" ht="15" customHeight="1" x14ac:dyDescent="0.3">
      <c r="A55" s="16" t="s">
        <v>360</v>
      </c>
    </row>
    <row r="56" spans="1:1" ht="15" customHeight="1" x14ac:dyDescent="0.3">
      <c r="A56" s="45" t="s">
        <v>361</v>
      </c>
    </row>
    <row r="57" spans="1:1" ht="15" customHeight="1" x14ac:dyDescent="0.3">
      <c r="A57" s="16" t="s">
        <v>264</v>
      </c>
    </row>
    <row r="67" spans="1:6" ht="15" customHeight="1" x14ac:dyDescent="0.3">
      <c r="D67" s="9" t="s">
        <v>289</v>
      </c>
      <c r="E67" s="9" t="s">
        <v>288</v>
      </c>
      <c r="F67" s="9" t="s">
        <v>362</v>
      </c>
    </row>
    <row r="68" spans="1:6" ht="15" customHeight="1" x14ac:dyDescent="0.3">
      <c r="A68" s="16" t="s">
        <v>33</v>
      </c>
      <c r="D68">
        <f ca="1">YEAR(TODAY())-5</f>
        <v>2021</v>
      </c>
      <c r="E68" s="5">
        <v>500</v>
      </c>
      <c r="F68" s="53">
        <v>5000</v>
      </c>
    </row>
    <row r="69" spans="1:6" ht="15" customHeight="1" x14ac:dyDescent="0.3">
      <c r="A69" s="16" t="s">
        <v>343</v>
      </c>
      <c r="D69">
        <f ca="1">YEAR(TODAY())-4</f>
        <v>2022</v>
      </c>
      <c r="E69">
        <v>800</v>
      </c>
      <c r="F69" s="53">
        <v>11200</v>
      </c>
    </row>
    <row r="70" spans="1:6" ht="15" customHeight="1" x14ac:dyDescent="0.3">
      <c r="A70" s="16" t="s">
        <v>285</v>
      </c>
      <c r="D70">
        <f ca="1">YEAR(TODAY())-3</f>
        <v>2023</v>
      </c>
      <c r="E70" s="5">
        <v>1000</v>
      </c>
      <c r="F70" s="53">
        <v>30000</v>
      </c>
    </row>
    <row r="71" spans="1:6" ht="15" customHeight="1" x14ac:dyDescent="0.3">
      <c r="A71" s="16" t="s">
        <v>286</v>
      </c>
      <c r="D71">
        <f ca="1">YEAR(TODAY())-2</f>
        <v>2024</v>
      </c>
      <c r="E71">
        <v>900</v>
      </c>
      <c r="F71" s="53">
        <v>25000</v>
      </c>
    </row>
    <row r="72" spans="1:6" ht="15" customHeight="1" x14ac:dyDescent="0.3">
      <c r="A72" s="16" t="s">
        <v>38</v>
      </c>
      <c r="D72">
        <f ca="1">YEAR(TODAY())-1</f>
        <v>2025</v>
      </c>
      <c r="E72" s="5">
        <v>1000</v>
      </c>
      <c r="F72" s="53">
        <v>5000</v>
      </c>
    </row>
    <row r="73" spans="1:6" ht="15" customHeight="1" x14ac:dyDescent="0.3">
      <c r="D73">
        <f ca="1">YEAR(TODAY())</f>
        <v>2026</v>
      </c>
      <c r="E73">
        <v>1200</v>
      </c>
      <c r="F73" s="53">
        <v>8000</v>
      </c>
    </row>
  </sheetData>
  <hyperlinks>
    <hyperlink ref="A71" r:id="rId1" tooltip="Selecione para aceder à Web e saber mais sobre os tipos de gráficos disponíveis no Office" xr:uid="{00000000-0004-0000-0900-000000000000}"/>
    <hyperlink ref="A70" r:id="rId2" tooltip="Selecione para aceder à Web e saber como criar um gráfico de combinação com um eixo secundário" xr:uid="{00000000-0004-0000-0900-000001000000}"/>
    <hyperlink ref="A69" r:id="rId3" tooltip="Selecione para aceder à Web e saber como criar um gráfico do início ao fim" display="Criar um gráfico do início ao fim" xr:uid="{00000000-0004-0000-0900-000002000000}"/>
  </hyperlinks>
  <pageMargins left="0.7" right="0.7" top="0.75" bottom="0.75" header="0.3" footer="0.3"/>
  <pageSetup paperSize="9"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61"/>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2.44140625" customWidth="1"/>
    <col min="4" max="4" width="14" customWidth="1"/>
    <col min="5" max="5" width="13.109375" bestFit="1" customWidth="1"/>
    <col min="6" max="6" width="16.44140625" bestFit="1" customWidth="1"/>
  </cols>
  <sheetData>
    <row r="1" spans="1:7" ht="60" customHeight="1" x14ac:dyDescent="0.3">
      <c r="A1" s="16" t="s">
        <v>290</v>
      </c>
    </row>
    <row r="2" spans="1:7" ht="15" customHeight="1" x14ac:dyDescent="0.3">
      <c r="A2" s="16" t="s">
        <v>291</v>
      </c>
    </row>
    <row r="3" spans="1:7" ht="15" customHeight="1" x14ac:dyDescent="0.3">
      <c r="A3" s="16" t="s">
        <v>292</v>
      </c>
      <c r="C3" t="s">
        <v>289</v>
      </c>
      <c r="D3" t="s">
        <v>305</v>
      </c>
      <c r="E3" t="s">
        <v>84</v>
      </c>
      <c r="F3" t="s">
        <v>51</v>
      </c>
    </row>
    <row r="4" spans="1:7" ht="15" customHeight="1" x14ac:dyDescent="0.3">
      <c r="A4" s="16" t="s">
        <v>293</v>
      </c>
      <c r="C4" s="52">
        <f ca="1">TODAY()-57</f>
        <v>46212</v>
      </c>
      <c r="D4" t="s">
        <v>306</v>
      </c>
      <c r="E4" t="s">
        <v>308</v>
      </c>
      <c r="F4" s="38">
        <v>1400</v>
      </c>
    </row>
    <row r="5" spans="1:7" s="3" customFormat="1" ht="15" customHeight="1" x14ac:dyDescent="0.3">
      <c r="A5" s="16" t="s">
        <v>294</v>
      </c>
      <c r="B5"/>
      <c r="C5" s="52">
        <f ca="1">TODAY()-52</f>
        <v>46217</v>
      </c>
      <c r="D5" t="s">
        <v>182</v>
      </c>
      <c r="E5" t="s">
        <v>309</v>
      </c>
      <c r="F5" s="38">
        <v>1010</v>
      </c>
    </row>
    <row r="6" spans="1:7" s="3" customFormat="1" ht="15" customHeight="1" x14ac:dyDescent="0.3">
      <c r="A6" s="16" t="s">
        <v>372</v>
      </c>
      <c r="B6"/>
      <c r="C6" s="52">
        <f ca="1">TODAY()-35</f>
        <v>46234</v>
      </c>
      <c r="D6" t="s">
        <v>306</v>
      </c>
      <c r="E6" t="s">
        <v>308</v>
      </c>
      <c r="F6" s="38">
        <v>750</v>
      </c>
    </row>
    <row r="7" spans="1:7" s="3" customFormat="1" ht="15" customHeight="1" x14ac:dyDescent="0.3">
      <c r="A7" s="16" t="s">
        <v>295</v>
      </c>
      <c r="B7"/>
      <c r="C7" s="52">
        <f ca="1">TODAY()-31</f>
        <v>46238</v>
      </c>
      <c r="D7" t="s">
        <v>182</v>
      </c>
      <c r="E7" t="s">
        <v>310</v>
      </c>
      <c r="F7" s="38">
        <v>510</v>
      </c>
    </row>
    <row r="8" spans="1:7" s="3" customFormat="1" ht="15" customHeight="1" x14ac:dyDescent="0.3">
      <c r="A8" s="16" t="s">
        <v>12</v>
      </c>
      <c r="B8"/>
      <c r="C8" s="52">
        <f ca="1">TODAY()-11</f>
        <v>46258</v>
      </c>
      <c r="D8" t="s">
        <v>307</v>
      </c>
      <c r="E8" t="s">
        <v>310</v>
      </c>
      <c r="F8" s="38">
        <v>1600</v>
      </c>
    </row>
    <row r="9" spans="1:7" s="3" customFormat="1" ht="15" customHeight="1" x14ac:dyDescent="0.3">
      <c r="A9" s="16"/>
      <c r="B9"/>
      <c r="C9" s="52">
        <f ca="1">TODAY()</f>
        <v>46269</v>
      </c>
      <c r="D9" t="s">
        <v>186</v>
      </c>
      <c r="E9" t="s">
        <v>309</v>
      </c>
      <c r="F9" s="38">
        <v>680</v>
      </c>
    </row>
    <row r="10" spans="1:7" s="3" customFormat="1" ht="15" customHeight="1" x14ac:dyDescent="0.3">
      <c r="A10" s="16"/>
      <c r="B10"/>
      <c r="C10"/>
      <c r="D10"/>
      <c r="E10"/>
      <c r="F10"/>
    </row>
    <row r="11" spans="1:7" s="3" customFormat="1" ht="15" customHeight="1" x14ac:dyDescent="0.3">
      <c r="A11" s="16"/>
      <c r="B11"/>
      <c r="E11" s="12" t="s">
        <v>374</v>
      </c>
      <c r="F11" t="s">
        <v>344</v>
      </c>
      <c r="G11"/>
    </row>
    <row r="12" spans="1:7" s="3" customFormat="1" ht="15" customHeight="1" x14ac:dyDescent="0.3">
      <c r="A12" s="16"/>
      <c r="B12"/>
      <c r="E12" s="3" t="s">
        <v>308</v>
      </c>
      <c r="F12" s="48">
        <v>2150</v>
      </c>
      <c r="G12"/>
    </row>
    <row r="13" spans="1:7" s="3" customFormat="1" ht="15" customHeight="1" x14ac:dyDescent="0.3">
      <c r="A13" s="16"/>
      <c r="B13"/>
      <c r="E13" s="3" t="s">
        <v>310</v>
      </c>
      <c r="F13" s="48">
        <v>2110</v>
      </c>
      <c r="G13"/>
    </row>
    <row r="14" spans="1:7" s="3" customFormat="1" ht="15" customHeight="1" x14ac:dyDescent="0.3">
      <c r="A14" s="16"/>
      <c r="B14"/>
      <c r="E14" s="3" t="s">
        <v>309</v>
      </c>
      <c r="F14" s="48">
        <v>1690</v>
      </c>
      <c r="G14"/>
    </row>
    <row r="15" spans="1:7" s="3" customFormat="1" ht="15" customHeight="1" x14ac:dyDescent="0.3">
      <c r="A15" s="16"/>
      <c r="B15"/>
      <c r="E15" s="3" t="s">
        <v>375</v>
      </c>
      <c r="F15" s="48">
        <v>5950</v>
      </c>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c r="C22"/>
      <c r="D22"/>
      <c r="E22"/>
      <c r="F22"/>
      <c r="G22"/>
    </row>
    <row r="23" spans="1:7" s="3" customFormat="1" ht="15" customHeight="1" x14ac:dyDescent="0.3">
      <c r="A23" s="16"/>
      <c r="B23"/>
      <c r="C23"/>
      <c r="D23"/>
      <c r="E23"/>
      <c r="F23"/>
      <c r="G23"/>
    </row>
    <row r="24" spans="1:7" s="3" customFormat="1" ht="15" customHeight="1" x14ac:dyDescent="0.3">
      <c r="A24" s="16"/>
      <c r="B24"/>
      <c r="C24"/>
      <c r="D24"/>
      <c r="E24"/>
      <c r="F24"/>
      <c r="G24"/>
    </row>
    <row r="27" spans="1:7" ht="15" customHeight="1" x14ac:dyDescent="0.3">
      <c r="A27" s="16" t="s">
        <v>296</v>
      </c>
    </row>
    <row r="28" spans="1:7" ht="15" customHeight="1" x14ac:dyDescent="0.3">
      <c r="A28" s="16" t="s">
        <v>297</v>
      </c>
    </row>
    <row r="29" spans="1:7" ht="15" customHeight="1" x14ac:dyDescent="0.3">
      <c r="A29" s="16" t="s">
        <v>298</v>
      </c>
    </row>
    <row r="30" spans="1:7" ht="15" customHeight="1" x14ac:dyDescent="0.3">
      <c r="A30" s="16" t="s">
        <v>373</v>
      </c>
    </row>
    <row r="31" spans="1:7" ht="15" customHeight="1" x14ac:dyDescent="0.3">
      <c r="A31" s="16" t="s">
        <v>299</v>
      </c>
    </row>
    <row r="32" spans="1:7" ht="15" customHeight="1" x14ac:dyDescent="0.3">
      <c r="A32" s="16" t="s">
        <v>300</v>
      </c>
    </row>
    <row r="33" spans="1:6" ht="15" customHeight="1" x14ac:dyDescent="0.3">
      <c r="A33" s="45" t="s">
        <v>301</v>
      </c>
    </row>
    <row r="34" spans="1:6" ht="15" customHeight="1" x14ac:dyDescent="0.3">
      <c r="A34" s="45" t="s">
        <v>302</v>
      </c>
      <c r="C34" t="s">
        <v>289</v>
      </c>
      <c r="D34" t="s">
        <v>305</v>
      </c>
      <c r="E34" t="s">
        <v>84</v>
      </c>
      <c r="F34" t="s">
        <v>51</v>
      </c>
    </row>
    <row r="35" spans="1:6" ht="15" customHeight="1" x14ac:dyDescent="0.3">
      <c r="A35" s="16" t="s">
        <v>303</v>
      </c>
      <c r="C35" s="52">
        <f ca="1">TODAY()-57</f>
        <v>46212</v>
      </c>
      <c r="D35" t="s">
        <v>306</v>
      </c>
      <c r="E35" t="s">
        <v>308</v>
      </c>
      <c r="F35" s="38">
        <v>1400</v>
      </c>
    </row>
    <row r="36" spans="1:6" ht="15" customHeight="1" x14ac:dyDescent="0.3">
      <c r="A36" s="16" t="s">
        <v>304</v>
      </c>
      <c r="C36" s="52">
        <f ca="1">TODAY()-52</f>
        <v>46217</v>
      </c>
      <c r="D36" t="s">
        <v>182</v>
      </c>
      <c r="E36" t="s">
        <v>309</v>
      </c>
      <c r="F36" s="38">
        <v>1010</v>
      </c>
    </row>
    <row r="37" spans="1:6" ht="15" customHeight="1" x14ac:dyDescent="0.3">
      <c r="C37" s="52">
        <f ca="1">TODAY()-35</f>
        <v>46234</v>
      </c>
      <c r="D37" t="s">
        <v>306</v>
      </c>
      <c r="E37" t="s">
        <v>308</v>
      </c>
      <c r="F37" s="38">
        <v>750</v>
      </c>
    </row>
    <row r="38" spans="1:6" ht="15" customHeight="1" x14ac:dyDescent="0.3">
      <c r="C38" s="52">
        <f ca="1">TODAY()-31</f>
        <v>46238</v>
      </c>
      <c r="D38" t="s">
        <v>182</v>
      </c>
      <c r="E38" t="s">
        <v>310</v>
      </c>
      <c r="F38" s="38">
        <v>510</v>
      </c>
    </row>
    <row r="39" spans="1:6" ht="15" customHeight="1" x14ac:dyDescent="0.3">
      <c r="C39" s="52">
        <f ca="1">TODAY()-11</f>
        <v>46258</v>
      </c>
      <c r="D39" t="s">
        <v>307</v>
      </c>
      <c r="E39" t="s">
        <v>310</v>
      </c>
      <c r="F39" s="38">
        <v>1600</v>
      </c>
    </row>
    <row r="40" spans="1:6" ht="15" customHeight="1" x14ac:dyDescent="0.3">
      <c r="C40" s="52">
        <f ca="1">TODAY()</f>
        <v>46269</v>
      </c>
      <c r="D40" t="s">
        <v>186</v>
      </c>
      <c r="E40" t="s">
        <v>309</v>
      </c>
      <c r="F40" s="38">
        <v>680</v>
      </c>
    </row>
    <row r="58" spans="1:1" ht="15" customHeight="1" x14ac:dyDescent="0.3">
      <c r="A58" s="16" t="s">
        <v>33</v>
      </c>
    </row>
    <row r="59" spans="1:1" ht="15" customHeight="1" x14ac:dyDescent="0.3">
      <c r="A59" s="16" t="s">
        <v>345</v>
      </c>
    </row>
    <row r="60" spans="1:1" ht="15" customHeight="1" x14ac:dyDescent="0.3">
      <c r="A60" s="16" t="s">
        <v>346</v>
      </c>
    </row>
    <row r="61" spans="1:1" ht="15" customHeight="1" x14ac:dyDescent="0.3">
      <c r="A61" s="16" t="s">
        <v>38</v>
      </c>
    </row>
  </sheetData>
  <hyperlinks>
    <hyperlink ref="A60" r:id="rId2" tooltip="Selecione para aceder à Web e saber como utilizar a Lista de Campos para dispor campos numa Tabela Dinâmica" display="Utilizar a Lista de Campos para dispor campos numa tabela dinâmica" xr:uid="{00000000-0004-0000-0A00-000000000000}"/>
    <hyperlink ref="A59" r:id="rId3" tooltip="Selecione para aceder à Web e saber como criar uma Tabela Dinâmica para analisar os dados da folha de cálculo" display="Criar uma tabela dinâmica para analisar os dados da folha de cálculo" xr:uid="{00000000-0004-0000-0A00-000001000000}"/>
  </hyperlinks>
  <pageMargins left="0.7" right="0.7" top="0.75" bottom="0.75" header="0.3" footer="0.3"/>
  <pageSetup paperSize="9"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6"/>
  <sheetViews>
    <sheetView showGridLines="0" zoomScaleNormal="100" workbookViewId="0"/>
  </sheetViews>
  <sheetFormatPr defaultColWidth="8.88671875" defaultRowHeight="15" customHeight="1" x14ac:dyDescent="0.3"/>
  <cols>
    <col min="1" max="1" width="8.88671875" style="16"/>
    <col min="2" max="2" width="95.109375" customWidth="1"/>
  </cols>
  <sheetData>
    <row r="1" spans="1:2" ht="60" customHeight="1" x14ac:dyDescent="0.3">
      <c r="A1" s="16" t="s">
        <v>311</v>
      </c>
    </row>
    <row r="2" spans="1:2" s="13" customFormat="1" ht="15" customHeight="1" x14ac:dyDescent="0.45">
      <c r="A2" s="16" t="s">
        <v>312</v>
      </c>
      <c r="B2"/>
    </row>
    <row r="3" spans="1:2" s="13" customFormat="1" ht="15" customHeight="1" x14ac:dyDescent="0.45">
      <c r="A3" s="16" t="s">
        <v>313</v>
      </c>
      <c r="B3"/>
    </row>
    <row r="4" spans="1:2" s="14" customFormat="1" ht="15" customHeight="1" x14ac:dyDescent="0.75">
      <c r="A4" s="16" t="s">
        <v>314</v>
      </c>
      <c r="B4"/>
    </row>
    <row r="5" spans="1:2" s="15" customFormat="1" ht="15" customHeight="1" x14ac:dyDescent="0.3">
      <c r="A5" s="45" t="s">
        <v>315</v>
      </c>
      <c r="B5"/>
    </row>
    <row r="6" spans="1:2" s="15" customFormat="1" ht="15" customHeight="1" x14ac:dyDescent="0.3">
      <c r="B6"/>
    </row>
  </sheetData>
  <hyperlinks>
    <hyperlink ref="A4" r:id="rId1" tooltip="Selecione para saber mais sobre a Comunidade" display="http://go.microsoft.com/fwlink/?LinkId=844969" xr:uid="{00000000-0004-0000-0B00-000000000000}"/>
    <hyperlink ref="A5" r:id="rId2" tooltip="Selecione para conhecer mais novidades" display="http://go.microsoft.com/fwlink/?LinkId=846286" xr:uid="{00000000-0004-0000-0B00-000001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Folhas de Cálculo</vt:lpstr>
      </vt:variant>
      <vt:variant>
        <vt:i4>12</vt:i4>
      </vt:variant>
      <vt:variant>
        <vt:lpstr>Intervalos com Nome</vt:lpstr>
      </vt:variant>
      <vt:variant>
        <vt:i4>11</vt:i4>
      </vt:variant>
    </vt:vector>
  </HeadingPairs>
  <TitlesOfParts>
    <vt:vector size="23" baseType="lpstr">
      <vt:lpstr>Início</vt:lpstr>
      <vt:lpstr>1. Adicionar</vt:lpstr>
      <vt:lpstr>2. Preencher</vt:lpstr>
      <vt:lpstr>3. Dividir</vt:lpstr>
      <vt:lpstr>4. Transpor</vt:lpstr>
      <vt:lpstr>5. Ordenar e filtrar</vt:lpstr>
      <vt:lpstr>6. Tabelas</vt:lpstr>
      <vt:lpstr>7. Listas pendentes</vt:lpstr>
      <vt:lpstr>8. Analisar</vt:lpstr>
      <vt:lpstr>9. Gráficos</vt:lpstr>
      <vt:lpstr>10. Tabelas Dinâmicas</vt:lpstr>
      <vt:lpstr>Saiba mais</vt:lpstr>
      <vt:lpstr>Carne</vt:lpstr>
      <vt:lpstr>Fruta</vt:lpstr>
      <vt:lpstr>Itens</vt:lpstr>
      <vt:lpstr>MaisFruta</vt:lpstr>
      <vt:lpstr>MaisItem</vt:lpstr>
      <vt:lpstr>MaisItens</vt:lpstr>
      <vt:lpstr>PontosExtra</vt:lpstr>
      <vt:lpstr>SOMA.SE</vt:lpstr>
      <vt:lpstr>SOMA.SEPontosExtra</vt:lpstr>
      <vt:lpstr>SOMAPontosExtra</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2026-09-04T09:36:54Z</dcterms:modified>
  <cp:version/>
</cp:coreProperties>
</file>